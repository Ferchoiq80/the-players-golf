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Fernando\Curso golf\players\"/>
    </mc:Choice>
  </mc:AlternateContent>
  <xr:revisionPtr revIDLastSave="0" documentId="13_ncr:1_{1898CC0D-F22C-475A-93CC-5BFAF2F94EFE}" xr6:coauthVersionLast="47" xr6:coauthVersionMax="47" xr10:uidLastSave="{00000000-0000-0000-0000-000000000000}"/>
  <bookViews>
    <workbookView xWindow="-108" yWindow="-108" windowWidth="23256" windowHeight="12456" activeTab="1" xr2:uid="{E168F142-D4C6-4E8C-9803-0A60B8879AA8}"/>
  </bookViews>
  <sheets>
    <sheet name="jugadores" sheetId="10" r:id="rId1"/>
    <sheet name="Indices" sheetId="1" r:id="rId2"/>
    <sheet name="Equipos" sheetId="4" r:id="rId3"/>
    <sheet name="Resultados" sheetId="5" r:id="rId4"/>
    <sheet name="Puntos" sheetId="6" r:id="rId5"/>
    <sheet name="Palmares" sheetId="7" r:id="rId6"/>
    <sheet name="Hoja1" sheetId="8" state="hidden" r:id="rId7"/>
  </sheets>
  <definedNames>
    <definedName name="_xlnm._FilterDatabase" localSheetId="1" hidden="1">Indices!$G$1:$G$19</definedName>
    <definedName name="_xlnm._FilterDatabase" localSheetId="0" hidden="1">jugadores!$A$1:$I$202</definedName>
    <definedName name="_xlnm._FilterDatabase" localSheetId="5" hidden="1">Palmares!#REF!</definedName>
    <definedName name="_xlnm._FilterDatabase" localSheetId="3" hidden="1">Resultados!$A$1:$P$124</definedName>
    <definedName name="RESULTADOS">Resultados!$A$1:$P$351</definedName>
  </definedNames>
  <calcPr calcId="191029"/>
  <pivotCaches>
    <pivotCache cacheId="0" r:id="rId8"/>
    <pivotCache cacheId="1" r:id="rId9"/>
    <pivotCache cacheId="2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88" i="5" l="1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H13" i="4"/>
  <c r="H10" i="4"/>
  <c r="H9" i="4"/>
  <c r="H6" i="4"/>
  <c r="H7" i="4" s="1"/>
  <c r="H5" i="4"/>
  <c r="H2" i="4"/>
  <c r="H17" i="4"/>
  <c r="H14" i="4"/>
  <c r="H11" i="4" l="1"/>
  <c r="H12" i="4" s="1"/>
  <c r="H8" i="4"/>
  <c r="H3" i="4"/>
  <c r="H4" i="4" s="1"/>
  <c r="H15" i="4"/>
  <c r="H16" i="4" s="1"/>
  <c r="J176" i="5" l="1"/>
  <c r="J177" i="5"/>
  <c r="J178" i="5"/>
  <c r="J179" i="5"/>
  <c r="J180" i="5"/>
  <c r="J181" i="5"/>
  <c r="J182" i="5"/>
  <c r="J183" i="5"/>
  <c r="J184" i="5"/>
  <c r="J185" i="5"/>
  <c r="J186" i="5"/>
  <c r="J187" i="5"/>
  <c r="J175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Y2" i="6"/>
  <c r="S3" i="6"/>
  <c r="J151" i="5"/>
  <c r="J152" i="5"/>
  <c r="J153" i="5"/>
  <c r="J154" i="5"/>
  <c r="J155" i="5"/>
  <c r="J156" i="5"/>
  <c r="J145" i="5"/>
  <c r="J146" i="5"/>
  <c r="J147" i="5"/>
  <c r="J148" i="5"/>
  <c r="J149" i="5"/>
  <c r="J150" i="5"/>
  <c r="M2" i="6"/>
  <c r="V2" i="6"/>
  <c r="S2" i="6"/>
  <c r="S9" i="6" s="1"/>
  <c r="J125" i="5"/>
  <c r="M8" i="6" l="1"/>
  <c r="I202" i="10" l="1"/>
  <c r="H202" i="10"/>
  <c r="G202" i="10"/>
  <c r="I201" i="10"/>
  <c r="G201" i="10"/>
  <c r="H201" i="10" s="1"/>
  <c r="I200" i="10"/>
  <c r="G200" i="10"/>
  <c r="H200" i="10" s="1"/>
  <c r="I199" i="10"/>
  <c r="G199" i="10"/>
  <c r="H199" i="10" s="1"/>
  <c r="I198" i="10"/>
  <c r="H198" i="10"/>
  <c r="G198" i="10"/>
  <c r="I197" i="10"/>
  <c r="G197" i="10"/>
  <c r="H197" i="10" s="1"/>
  <c r="I196" i="10"/>
  <c r="G196" i="10"/>
  <c r="H196" i="10" s="1"/>
  <c r="I195" i="10"/>
  <c r="G195" i="10"/>
  <c r="H195" i="10" s="1"/>
  <c r="I194" i="10"/>
  <c r="H194" i="10"/>
  <c r="G194" i="10"/>
  <c r="I193" i="10"/>
  <c r="G193" i="10"/>
  <c r="H193" i="10" s="1"/>
  <c r="I192" i="10"/>
  <c r="G192" i="10"/>
  <c r="H192" i="10" s="1"/>
  <c r="I191" i="10"/>
  <c r="G191" i="10"/>
  <c r="H191" i="10" s="1"/>
  <c r="I190" i="10"/>
  <c r="H190" i="10"/>
  <c r="G190" i="10"/>
  <c r="I189" i="10"/>
  <c r="G189" i="10"/>
  <c r="H189" i="10" s="1"/>
  <c r="I188" i="10"/>
  <c r="G188" i="10"/>
  <c r="H188" i="10" s="1"/>
  <c r="I187" i="10"/>
  <c r="G187" i="10"/>
  <c r="H187" i="10" s="1"/>
  <c r="I186" i="10"/>
  <c r="H186" i="10"/>
  <c r="G186" i="10"/>
  <c r="I185" i="10"/>
  <c r="H185" i="10"/>
  <c r="I184" i="10"/>
  <c r="G184" i="10"/>
  <c r="H184" i="10" s="1"/>
  <c r="I183" i="10"/>
  <c r="G183" i="10"/>
  <c r="H183" i="10" s="1"/>
  <c r="I182" i="10"/>
  <c r="G182" i="10"/>
  <c r="H182" i="10" s="1"/>
  <c r="I181" i="10"/>
  <c r="G181" i="10"/>
  <c r="H181" i="10" s="1"/>
  <c r="I180" i="10"/>
  <c r="G180" i="10"/>
  <c r="H180" i="10" s="1"/>
  <c r="I179" i="10"/>
  <c r="G179" i="10"/>
  <c r="H179" i="10" s="1"/>
  <c r="I178" i="10"/>
  <c r="G178" i="10"/>
  <c r="H178" i="10" s="1"/>
  <c r="I177" i="10"/>
  <c r="G177" i="10"/>
  <c r="H177" i="10" s="1"/>
  <c r="I176" i="10"/>
  <c r="G176" i="10"/>
  <c r="H176" i="10" s="1"/>
  <c r="I175" i="10"/>
  <c r="G175" i="10"/>
  <c r="H175" i="10" s="1"/>
  <c r="I174" i="10"/>
  <c r="G174" i="10"/>
  <c r="H174" i="10" s="1"/>
  <c r="I173" i="10"/>
  <c r="G173" i="10"/>
  <c r="H173" i="10" s="1"/>
  <c r="I172" i="10"/>
  <c r="H172" i="10"/>
  <c r="G172" i="10"/>
  <c r="I171" i="10"/>
  <c r="G171" i="10"/>
  <c r="H171" i="10" s="1"/>
  <c r="I170" i="10"/>
  <c r="G170" i="10"/>
  <c r="H170" i="10" s="1"/>
  <c r="I169" i="10"/>
  <c r="G169" i="10"/>
  <c r="H169" i="10" s="1"/>
  <c r="I168" i="10"/>
  <c r="G168" i="10"/>
  <c r="H168" i="10" s="1"/>
  <c r="I167" i="10"/>
  <c r="G167" i="10"/>
  <c r="H167" i="10" s="1"/>
  <c r="I166" i="10"/>
  <c r="G166" i="10"/>
  <c r="H166" i="10" s="1"/>
  <c r="I165" i="10"/>
  <c r="G165" i="10"/>
  <c r="H165" i="10" s="1"/>
  <c r="I164" i="10"/>
  <c r="G164" i="10"/>
  <c r="H164" i="10" s="1"/>
  <c r="I163" i="10"/>
  <c r="H163" i="10"/>
  <c r="G163" i="10"/>
  <c r="I162" i="10"/>
  <c r="G162" i="10"/>
  <c r="H162" i="10" s="1"/>
  <c r="I161" i="10"/>
  <c r="G161" i="10"/>
  <c r="H161" i="10" s="1"/>
  <c r="I160" i="10"/>
  <c r="G160" i="10"/>
  <c r="H160" i="10" s="1"/>
  <c r="I159" i="10"/>
  <c r="G159" i="10"/>
  <c r="H159" i="10" s="1"/>
  <c r="I158" i="10"/>
  <c r="G158" i="10"/>
  <c r="H158" i="10" s="1"/>
  <c r="I157" i="10"/>
  <c r="G157" i="10"/>
  <c r="H157" i="10" s="1"/>
  <c r="I156" i="10"/>
  <c r="G156" i="10"/>
  <c r="H156" i="10" s="1"/>
  <c r="I155" i="10"/>
  <c r="G155" i="10"/>
  <c r="H155" i="10" s="1"/>
  <c r="I154" i="10"/>
  <c r="G154" i="10"/>
  <c r="H154" i="10" s="1"/>
  <c r="I153" i="10"/>
  <c r="G153" i="10"/>
  <c r="H153" i="10" s="1"/>
  <c r="I152" i="10"/>
  <c r="G152" i="10"/>
  <c r="H152" i="10" s="1"/>
  <c r="I151" i="10"/>
  <c r="G151" i="10"/>
  <c r="H151" i="10" s="1"/>
  <c r="I150" i="10"/>
  <c r="G150" i="10"/>
  <c r="H150" i="10" s="1"/>
  <c r="I149" i="10"/>
  <c r="G149" i="10"/>
  <c r="H149" i="10" s="1"/>
  <c r="I148" i="10"/>
  <c r="H148" i="10"/>
  <c r="G148" i="10"/>
  <c r="I147" i="10"/>
  <c r="G147" i="10"/>
  <c r="H147" i="10" s="1"/>
  <c r="I146" i="10"/>
  <c r="G146" i="10"/>
  <c r="H146" i="10" s="1"/>
  <c r="I145" i="10"/>
  <c r="G145" i="10"/>
  <c r="H145" i="10" s="1"/>
  <c r="I144" i="10"/>
  <c r="G144" i="10"/>
  <c r="H144" i="10" s="1"/>
  <c r="I143" i="10"/>
  <c r="G143" i="10"/>
  <c r="H143" i="10" s="1"/>
  <c r="I142" i="10"/>
  <c r="G142" i="10"/>
  <c r="H142" i="10" s="1"/>
  <c r="I141" i="10"/>
  <c r="G141" i="10"/>
  <c r="H141" i="10" s="1"/>
  <c r="I140" i="10"/>
  <c r="G140" i="10"/>
  <c r="H140" i="10" s="1"/>
  <c r="I139" i="10"/>
  <c r="H139" i="10"/>
  <c r="G139" i="10"/>
  <c r="I138" i="10"/>
  <c r="G138" i="10"/>
  <c r="H138" i="10" s="1"/>
  <c r="I137" i="10"/>
  <c r="G137" i="10"/>
  <c r="H137" i="10" s="1"/>
  <c r="I136" i="10"/>
  <c r="G136" i="10"/>
  <c r="H136" i="10" s="1"/>
  <c r="I135" i="10"/>
  <c r="G135" i="10"/>
  <c r="H135" i="10" s="1"/>
  <c r="I134" i="10"/>
  <c r="G134" i="10"/>
  <c r="H134" i="10" s="1"/>
  <c r="I133" i="10"/>
  <c r="G133" i="10"/>
  <c r="H133" i="10" s="1"/>
  <c r="I132" i="10"/>
  <c r="G132" i="10"/>
  <c r="H132" i="10" s="1"/>
  <c r="I131" i="10"/>
  <c r="G131" i="10"/>
  <c r="H131" i="10" s="1"/>
  <c r="I130" i="10"/>
  <c r="G130" i="10"/>
  <c r="H130" i="10" s="1"/>
  <c r="I129" i="10"/>
  <c r="G129" i="10"/>
  <c r="H129" i="10" s="1"/>
  <c r="I128" i="10"/>
  <c r="G128" i="10"/>
  <c r="H128" i="10" s="1"/>
  <c r="I127" i="10"/>
  <c r="G127" i="10"/>
  <c r="H127" i="10" s="1"/>
  <c r="I126" i="10"/>
  <c r="G126" i="10"/>
  <c r="H126" i="10" s="1"/>
  <c r="I125" i="10"/>
  <c r="G125" i="10"/>
  <c r="H125" i="10" s="1"/>
  <c r="I124" i="10"/>
  <c r="H124" i="10"/>
  <c r="G124" i="10"/>
  <c r="I123" i="10"/>
  <c r="G123" i="10"/>
  <c r="H123" i="10" s="1"/>
  <c r="I122" i="10"/>
  <c r="G122" i="10"/>
  <c r="H122" i="10" s="1"/>
  <c r="I121" i="10"/>
  <c r="G121" i="10"/>
  <c r="H121" i="10" s="1"/>
  <c r="I120" i="10"/>
  <c r="G120" i="10"/>
  <c r="H120" i="10" s="1"/>
  <c r="I119" i="10"/>
  <c r="G119" i="10"/>
  <c r="H119" i="10" s="1"/>
  <c r="I118" i="10"/>
  <c r="G118" i="10"/>
  <c r="H118" i="10" s="1"/>
  <c r="I117" i="10"/>
  <c r="G117" i="10"/>
  <c r="H117" i="10" s="1"/>
  <c r="I116" i="10"/>
  <c r="G116" i="10"/>
  <c r="H116" i="10" s="1"/>
  <c r="I115" i="10"/>
  <c r="H115" i="10"/>
  <c r="G115" i="10"/>
  <c r="I114" i="10"/>
  <c r="G114" i="10"/>
  <c r="H114" i="10" s="1"/>
  <c r="I113" i="10"/>
  <c r="G113" i="10"/>
  <c r="H113" i="10" s="1"/>
  <c r="I112" i="10"/>
  <c r="G112" i="10"/>
  <c r="H112" i="10" s="1"/>
  <c r="I111" i="10"/>
  <c r="G111" i="10"/>
  <c r="H111" i="10" s="1"/>
  <c r="I110" i="10"/>
  <c r="G110" i="10"/>
  <c r="H110" i="10" s="1"/>
  <c r="I109" i="10"/>
  <c r="G109" i="10"/>
  <c r="H109" i="10" s="1"/>
  <c r="I108" i="10"/>
  <c r="G108" i="10"/>
  <c r="H108" i="10" s="1"/>
  <c r="I107" i="10"/>
  <c r="G107" i="10"/>
  <c r="H107" i="10" s="1"/>
  <c r="I106" i="10"/>
  <c r="G106" i="10"/>
  <c r="H106" i="10" s="1"/>
  <c r="I105" i="10"/>
  <c r="G105" i="10"/>
  <c r="H105" i="10" s="1"/>
  <c r="I104" i="10"/>
  <c r="G104" i="10"/>
  <c r="H104" i="10" s="1"/>
  <c r="I103" i="10"/>
  <c r="G103" i="10"/>
  <c r="H103" i="10" s="1"/>
  <c r="I102" i="10"/>
  <c r="G102" i="10"/>
  <c r="H102" i="10" s="1"/>
  <c r="I101" i="10"/>
  <c r="G101" i="10"/>
  <c r="H101" i="10" s="1"/>
  <c r="I100" i="10"/>
  <c r="H100" i="10"/>
  <c r="G100" i="10"/>
  <c r="I99" i="10"/>
  <c r="G99" i="10"/>
  <c r="H99" i="10" s="1"/>
  <c r="I98" i="10"/>
  <c r="G98" i="10"/>
  <c r="H98" i="10" s="1"/>
  <c r="I97" i="10"/>
  <c r="G97" i="10"/>
  <c r="H97" i="10" s="1"/>
  <c r="I96" i="10"/>
  <c r="G96" i="10"/>
  <c r="H96" i="10" s="1"/>
  <c r="I95" i="10"/>
  <c r="G95" i="10"/>
  <c r="H95" i="10" s="1"/>
  <c r="I94" i="10"/>
  <c r="G94" i="10"/>
  <c r="H94" i="10" s="1"/>
  <c r="I93" i="10"/>
  <c r="G93" i="10"/>
  <c r="H93" i="10" s="1"/>
  <c r="I92" i="10"/>
  <c r="G92" i="10"/>
  <c r="H92" i="10" s="1"/>
  <c r="I91" i="10"/>
  <c r="H91" i="10"/>
  <c r="G91" i="10"/>
  <c r="I90" i="10"/>
  <c r="G90" i="10"/>
  <c r="H90" i="10" s="1"/>
  <c r="I89" i="10"/>
  <c r="G89" i="10"/>
  <c r="H89" i="10" s="1"/>
  <c r="I88" i="10"/>
  <c r="G88" i="10"/>
  <c r="H88" i="10" s="1"/>
  <c r="I87" i="10"/>
  <c r="G87" i="10"/>
  <c r="H87" i="10" s="1"/>
  <c r="I86" i="10"/>
  <c r="G86" i="10"/>
  <c r="H86" i="10" s="1"/>
  <c r="I85" i="10"/>
  <c r="G85" i="10"/>
  <c r="H85" i="10" s="1"/>
  <c r="I84" i="10"/>
  <c r="G84" i="10"/>
  <c r="H84" i="10" s="1"/>
  <c r="I83" i="10"/>
  <c r="G83" i="10"/>
  <c r="H83" i="10" s="1"/>
  <c r="I82" i="10"/>
  <c r="G82" i="10"/>
  <c r="H82" i="10" s="1"/>
  <c r="I81" i="10"/>
  <c r="G81" i="10"/>
  <c r="H81" i="10" s="1"/>
  <c r="I80" i="10"/>
  <c r="G80" i="10"/>
  <c r="H80" i="10" s="1"/>
  <c r="I79" i="10"/>
  <c r="G79" i="10"/>
  <c r="H79" i="10" s="1"/>
  <c r="I78" i="10"/>
  <c r="G78" i="10"/>
  <c r="H78" i="10" s="1"/>
  <c r="I77" i="10"/>
  <c r="G77" i="10"/>
  <c r="H77" i="10" s="1"/>
  <c r="I76" i="10"/>
  <c r="H76" i="10"/>
  <c r="G76" i="10"/>
  <c r="I75" i="10"/>
  <c r="G75" i="10"/>
  <c r="H75" i="10" s="1"/>
  <c r="I74" i="10"/>
  <c r="G74" i="10"/>
  <c r="H74" i="10" s="1"/>
  <c r="I73" i="10"/>
  <c r="G73" i="10"/>
  <c r="H73" i="10" s="1"/>
  <c r="I72" i="10"/>
  <c r="G72" i="10"/>
  <c r="H72" i="10" s="1"/>
  <c r="I71" i="10"/>
  <c r="G71" i="10"/>
  <c r="H71" i="10" s="1"/>
  <c r="I70" i="10"/>
  <c r="G70" i="10"/>
  <c r="H70" i="10" s="1"/>
  <c r="I69" i="10"/>
  <c r="G69" i="10"/>
  <c r="H69" i="10" s="1"/>
  <c r="I68" i="10"/>
  <c r="G68" i="10"/>
  <c r="H68" i="10" s="1"/>
  <c r="I67" i="10"/>
  <c r="H67" i="10"/>
  <c r="G67" i="10"/>
  <c r="I66" i="10"/>
  <c r="G66" i="10"/>
  <c r="H66" i="10" s="1"/>
  <c r="I65" i="10"/>
  <c r="G65" i="10"/>
  <c r="H65" i="10" s="1"/>
  <c r="I64" i="10"/>
  <c r="G64" i="10"/>
  <c r="H64" i="10" s="1"/>
  <c r="I63" i="10"/>
  <c r="G63" i="10"/>
  <c r="H63" i="10" s="1"/>
  <c r="I62" i="10"/>
  <c r="G62" i="10"/>
  <c r="H62" i="10" s="1"/>
  <c r="I61" i="10"/>
  <c r="G61" i="10"/>
  <c r="H61" i="10" s="1"/>
  <c r="I60" i="10"/>
  <c r="G60" i="10"/>
  <c r="H60" i="10" s="1"/>
  <c r="I59" i="10"/>
  <c r="G59" i="10"/>
  <c r="H59" i="10" s="1"/>
  <c r="I58" i="10"/>
  <c r="G58" i="10"/>
  <c r="H58" i="10" s="1"/>
  <c r="I57" i="10"/>
  <c r="G57" i="10"/>
  <c r="H57" i="10" s="1"/>
  <c r="I56" i="10"/>
  <c r="G56" i="10"/>
  <c r="H56" i="10" s="1"/>
  <c r="I55" i="10"/>
  <c r="G55" i="10"/>
  <c r="H55" i="10" s="1"/>
  <c r="I54" i="10"/>
  <c r="G54" i="10"/>
  <c r="H54" i="10" s="1"/>
  <c r="I53" i="10"/>
  <c r="G53" i="10"/>
  <c r="H53" i="10" s="1"/>
  <c r="I52" i="10"/>
  <c r="H52" i="10"/>
  <c r="G52" i="10"/>
  <c r="I51" i="10"/>
  <c r="G51" i="10"/>
  <c r="H51" i="10" s="1"/>
  <c r="I50" i="10"/>
  <c r="G50" i="10"/>
  <c r="H50" i="10" s="1"/>
  <c r="I49" i="10"/>
  <c r="G49" i="10"/>
  <c r="H49" i="10" s="1"/>
  <c r="I48" i="10"/>
  <c r="G48" i="10"/>
  <c r="H48" i="10" s="1"/>
  <c r="I47" i="10"/>
  <c r="G47" i="10"/>
  <c r="H47" i="10" s="1"/>
  <c r="I46" i="10"/>
  <c r="G46" i="10"/>
  <c r="H46" i="10" s="1"/>
  <c r="I45" i="10"/>
  <c r="G45" i="10"/>
  <c r="H45" i="10" s="1"/>
  <c r="I44" i="10"/>
  <c r="G44" i="10"/>
  <c r="H44" i="10" s="1"/>
  <c r="I43" i="10"/>
  <c r="H43" i="10"/>
  <c r="G43" i="10"/>
  <c r="I42" i="10"/>
  <c r="G42" i="10"/>
  <c r="H42" i="10" s="1"/>
  <c r="I41" i="10"/>
  <c r="G41" i="10"/>
  <c r="H41" i="10" s="1"/>
  <c r="I40" i="10"/>
  <c r="G40" i="10"/>
  <c r="H40" i="10" s="1"/>
  <c r="I39" i="10"/>
  <c r="G39" i="10"/>
  <c r="H39" i="10" s="1"/>
  <c r="I38" i="10"/>
  <c r="G38" i="10"/>
  <c r="H38" i="10" s="1"/>
  <c r="I37" i="10"/>
  <c r="G37" i="10"/>
  <c r="H37" i="10" s="1"/>
  <c r="I36" i="10"/>
  <c r="G36" i="10"/>
  <c r="H36" i="10" s="1"/>
  <c r="I35" i="10"/>
  <c r="G35" i="10"/>
  <c r="H35" i="10" s="1"/>
  <c r="I34" i="10"/>
  <c r="G34" i="10"/>
  <c r="H34" i="10" s="1"/>
  <c r="I33" i="10"/>
  <c r="G33" i="10"/>
  <c r="H33" i="10" s="1"/>
  <c r="I32" i="10"/>
  <c r="G32" i="10"/>
  <c r="H32" i="10" s="1"/>
  <c r="I31" i="10"/>
  <c r="G31" i="10"/>
  <c r="H31" i="10" s="1"/>
  <c r="I30" i="10"/>
  <c r="G30" i="10"/>
  <c r="H30" i="10" s="1"/>
  <c r="I29" i="10"/>
  <c r="G29" i="10"/>
  <c r="H29" i="10" s="1"/>
  <c r="I28" i="10"/>
  <c r="H28" i="10"/>
  <c r="G28" i="10"/>
  <c r="I27" i="10"/>
  <c r="G27" i="10"/>
  <c r="H27" i="10" s="1"/>
  <c r="I26" i="10"/>
  <c r="G26" i="10"/>
  <c r="H26" i="10" s="1"/>
  <c r="I25" i="10"/>
  <c r="G25" i="10"/>
  <c r="H25" i="10" s="1"/>
  <c r="I24" i="10"/>
  <c r="G24" i="10"/>
  <c r="H24" i="10" s="1"/>
  <c r="I23" i="10"/>
  <c r="G23" i="10"/>
  <c r="H23" i="10" s="1"/>
  <c r="I22" i="10"/>
  <c r="G22" i="10"/>
  <c r="H22" i="10" s="1"/>
  <c r="I21" i="10"/>
  <c r="G21" i="10"/>
  <c r="H21" i="10" s="1"/>
  <c r="I20" i="10"/>
  <c r="G20" i="10"/>
  <c r="H20" i="10" s="1"/>
  <c r="I19" i="10"/>
  <c r="H19" i="10"/>
  <c r="G19" i="10"/>
  <c r="I18" i="10"/>
  <c r="G18" i="10"/>
  <c r="H18" i="10" s="1"/>
  <c r="I17" i="10"/>
  <c r="G17" i="10"/>
  <c r="H17" i="10" s="1"/>
  <c r="I16" i="10"/>
  <c r="G16" i="10"/>
  <c r="H16" i="10" s="1"/>
  <c r="I15" i="10"/>
  <c r="H15" i="10"/>
  <c r="G15" i="10"/>
  <c r="I14" i="10"/>
  <c r="G14" i="10"/>
  <c r="H14" i="10" s="1"/>
  <c r="I13" i="10"/>
  <c r="G13" i="10"/>
  <c r="H13" i="10" s="1"/>
  <c r="I12" i="10"/>
  <c r="G12" i="10"/>
  <c r="H12" i="10" s="1"/>
  <c r="I11" i="10"/>
  <c r="G11" i="10"/>
  <c r="H11" i="10" s="1"/>
  <c r="I10" i="10"/>
  <c r="G10" i="10"/>
  <c r="H10" i="10" s="1"/>
  <c r="I9" i="10"/>
  <c r="G9" i="10"/>
  <c r="H9" i="10" s="1"/>
  <c r="I8" i="10"/>
  <c r="G8" i="10"/>
  <c r="H8" i="10" s="1"/>
  <c r="I7" i="10"/>
  <c r="G7" i="10"/>
  <c r="H7" i="10" s="1"/>
  <c r="I6" i="10"/>
  <c r="G6" i="10"/>
  <c r="H6" i="10" s="1"/>
  <c r="I5" i="10"/>
  <c r="G5" i="10"/>
  <c r="H5" i="10" s="1"/>
  <c r="I4" i="10"/>
  <c r="G4" i="10"/>
  <c r="H4" i="10" s="1"/>
  <c r="I3" i="10"/>
  <c r="G3" i="10"/>
  <c r="H3" i="10" s="1"/>
  <c r="I2" i="10"/>
  <c r="G2" i="10"/>
  <c r="H2" i="10" s="1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05" i="5"/>
  <c r="F2" i="6"/>
  <c r="P2" i="6"/>
  <c r="L18" i="5"/>
  <c r="L7" i="5"/>
  <c r="L13" i="5"/>
  <c r="L20" i="5"/>
  <c r="L31" i="5"/>
  <c r="L14" i="5"/>
  <c r="L19" i="5"/>
  <c r="L10" i="5"/>
  <c r="L6" i="5"/>
  <c r="L2" i="5"/>
  <c r="L27" i="5"/>
  <c r="M9" i="5"/>
  <c r="L9" i="5"/>
  <c r="L17" i="5"/>
  <c r="L16" i="5"/>
  <c r="M15" i="5"/>
  <c r="M26" i="5"/>
  <c r="F12" i="6" l="1"/>
  <c r="Q25" i="7" l="1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M8" i="8" l="1"/>
  <c r="M7" i="8"/>
  <c r="M6" i="8"/>
  <c r="M5" i="8"/>
  <c r="M4" i="8"/>
  <c r="M3" i="8"/>
  <c r="N8" i="8"/>
  <c r="N7" i="8"/>
  <c r="N6" i="8"/>
  <c r="N5" i="8"/>
  <c r="N4" i="8"/>
  <c r="N3" i="8"/>
  <c r="N2" i="8"/>
  <c r="F19" i="8"/>
  <c r="F21" i="8"/>
  <c r="F18" i="8"/>
  <c r="F23" i="8"/>
  <c r="U7" i="8"/>
  <c r="V5" i="8" s="1"/>
  <c r="W5" i="8" s="1"/>
  <c r="D18" i="8"/>
  <c r="D19" i="8"/>
  <c r="D20" i="8"/>
  <c r="D21" i="8"/>
  <c r="D23" i="8"/>
  <c r="D24" i="8"/>
  <c r="D25" i="8"/>
  <c r="F2" i="8"/>
  <c r="F3" i="8"/>
  <c r="F10" i="8"/>
  <c r="F11" i="8"/>
  <c r="V4" i="8" l="1"/>
  <c r="W4" i="8" s="1"/>
  <c r="V3" i="8"/>
  <c r="V7" i="8"/>
  <c r="V6" i="8"/>
  <c r="W6" i="8" s="1"/>
  <c r="V2" i="8"/>
  <c r="Q3" i="8"/>
  <c r="Q4" i="8" s="1"/>
  <c r="Q5" i="8" s="1"/>
  <c r="P2" i="8"/>
  <c r="P4" i="8" s="1"/>
  <c r="P6" i="8" s="1"/>
  <c r="D16" i="8"/>
  <c r="D13" i="8"/>
  <c r="D15" i="8"/>
  <c r="D10" i="8"/>
  <c r="D12" i="8"/>
  <c r="D11" i="8"/>
  <c r="D14" i="8"/>
  <c r="D17" i="8"/>
  <c r="D9" i="8"/>
  <c r="D6" i="8"/>
  <c r="D7" i="8"/>
  <c r="D8" i="8"/>
  <c r="C2" i="8"/>
  <c r="C4" i="8"/>
  <c r="C5" i="8"/>
  <c r="C3" i="8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V10" i="6" l="1"/>
  <c r="P8" i="6"/>
  <c r="B3" i="6" l="1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Y11" i="6"/>
</calcChain>
</file>

<file path=xl/sharedStrings.xml><?xml version="1.0" encoding="utf-8"?>
<sst xmlns="http://schemas.openxmlformats.org/spreadsheetml/2006/main" count="2157" uniqueCount="548">
  <si>
    <t>Club</t>
  </si>
  <si>
    <t>Juega</t>
  </si>
  <si>
    <t>Codigo</t>
  </si>
  <si>
    <t>Apellidos</t>
  </si>
  <si>
    <t>Nombre</t>
  </si>
  <si>
    <t>Index</t>
  </si>
  <si>
    <t>Salida</t>
  </si>
  <si>
    <t>Hand.</t>
  </si>
  <si>
    <t>Puntos</t>
  </si>
  <si>
    <t>Tennis Golf Club</t>
  </si>
  <si>
    <t>Abrajim Rodriguez</t>
  </si>
  <si>
    <t>David Aziz</t>
  </si>
  <si>
    <t>Sarah</t>
  </si>
  <si>
    <t>Albornoz Garrido</t>
  </si>
  <si>
    <t>Jack</t>
  </si>
  <si>
    <t>Alvarado Mora</t>
  </si>
  <si>
    <t>Hugo Oswaldo</t>
  </si>
  <si>
    <t>Players</t>
  </si>
  <si>
    <t>Leal Gelvez</t>
  </si>
  <si>
    <t>Edgar</t>
  </si>
  <si>
    <t>Alvarez Davila</t>
  </si>
  <si>
    <t>Ronal Rene</t>
  </si>
  <si>
    <t>Angarita Lamk</t>
  </si>
  <si>
    <t>Rafael Navi</t>
  </si>
  <si>
    <t>Angarita Soto</t>
  </si>
  <si>
    <t>Rafael</t>
  </si>
  <si>
    <t>Alvarez Nuñez</t>
  </si>
  <si>
    <t>Gustavo Adolfo</t>
  </si>
  <si>
    <t>Angarita Suarez</t>
  </si>
  <si>
    <t>Luis Fernando</t>
  </si>
  <si>
    <t>Ararat Mafla</t>
  </si>
  <si>
    <t>David</t>
  </si>
  <si>
    <t>Abraham</t>
  </si>
  <si>
    <t>Arciniegas Caselles</t>
  </si>
  <si>
    <t>Erik Alberto</t>
  </si>
  <si>
    <t>Arciniegas Cifuentes</t>
  </si>
  <si>
    <t>Erik Julliuss</t>
  </si>
  <si>
    <t>Ardila Lopez</t>
  </si>
  <si>
    <t>Daniel Felipe</t>
  </si>
  <si>
    <t>Parra Gomez</t>
  </si>
  <si>
    <t>Luis Eduardo</t>
  </si>
  <si>
    <t>Ardila Reyes</t>
  </si>
  <si>
    <t>Delmer</t>
  </si>
  <si>
    <t>Bacca Jimenez</t>
  </si>
  <si>
    <t>Diego Alejandro</t>
  </si>
  <si>
    <t>Bahar Levi</t>
  </si>
  <si>
    <t>Israel</t>
  </si>
  <si>
    <t>Zerpa Albarran</t>
  </si>
  <si>
    <t>Edgardo Jose</t>
  </si>
  <si>
    <t>Barbosa Pardo</t>
  </si>
  <si>
    <t>Roque</t>
  </si>
  <si>
    <t>Damas</t>
  </si>
  <si>
    <t>Ballesteros Castellanos</t>
  </si>
  <si>
    <t>Kelly Johanna</t>
  </si>
  <si>
    <t>Benedetti Serrano</t>
  </si>
  <si>
    <t>Miguel A</t>
  </si>
  <si>
    <t>Betancourt Barbosa</t>
  </si>
  <si>
    <t>Armando</t>
  </si>
  <si>
    <t>Perez Guarnizo</t>
  </si>
  <si>
    <t>Guillermo</t>
  </si>
  <si>
    <t>Botero Calderon</t>
  </si>
  <si>
    <t>Santiago</t>
  </si>
  <si>
    <t>Brahim Sus</t>
  </si>
  <si>
    <t>Carlos Arturo</t>
  </si>
  <si>
    <t>Bustamante Ballesteros</t>
  </si>
  <si>
    <t>Gilberto</t>
  </si>
  <si>
    <t>Botello Garavito</t>
  </si>
  <si>
    <t>Samuel</t>
  </si>
  <si>
    <t>Carrascal Buenaver</t>
  </si>
  <si>
    <t>Sebastian</t>
  </si>
  <si>
    <t>Carrillo Ballesteros</t>
  </si>
  <si>
    <t>Victor Manuel</t>
  </si>
  <si>
    <t>Carrillo Sepulveda</t>
  </si>
  <si>
    <t>Carvajal Franklin</t>
  </si>
  <si>
    <t>Carlos A.</t>
  </si>
  <si>
    <t>Gustavo E.</t>
  </si>
  <si>
    <t>Carvajal Sanchez</t>
  </si>
  <si>
    <t>Carlos Enrique</t>
  </si>
  <si>
    <t>Castaño Suescuen</t>
  </si>
  <si>
    <t>Emiliano</t>
  </si>
  <si>
    <t>Castiblanco Gomez</t>
  </si>
  <si>
    <t>Ivan Enrique</t>
  </si>
  <si>
    <t>Caceres Rueda</t>
  </si>
  <si>
    <t>Nicolas</t>
  </si>
  <si>
    <t>Celis Vergel</t>
  </si>
  <si>
    <t>Juan Pablo</t>
  </si>
  <si>
    <t>Cely Sanchez</t>
  </si>
  <si>
    <t>Juan Libardo</t>
  </si>
  <si>
    <t>Carlos Augusto</t>
  </si>
  <si>
    <t>Chacon Banderas</t>
  </si>
  <si>
    <t>Jose Maria</t>
  </si>
  <si>
    <t>Chacón Chavarro</t>
  </si>
  <si>
    <t>Carlos Manuel</t>
  </si>
  <si>
    <t>Chacon Garnica</t>
  </si>
  <si>
    <t>Marlon</t>
  </si>
  <si>
    <t>Chacon Montañez</t>
  </si>
  <si>
    <t>Chacón Mutis</t>
  </si>
  <si>
    <t>Alejandro</t>
  </si>
  <si>
    <t>Charry Alcala</t>
  </si>
  <si>
    <t>German</t>
  </si>
  <si>
    <t>Colmenares Ossa</t>
  </si>
  <si>
    <t>Raul Antonio</t>
  </si>
  <si>
    <t>Jose E.</t>
  </si>
  <si>
    <t>Colmenares Rojas</t>
  </si>
  <si>
    <t>Carlos Eduardo</t>
  </si>
  <si>
    <t>Consuegra Morales</t>
  </si>
  <si>
    <t>Juan Carlos</t>
  </si>
  <si>
    <t>Cely Soler</t>
  </si>
  <si>
    <t>Libardo Del Carmen</t>
  </si>
  <si>
    <t>Cristo Bustos</t>
  </si>
  <si>
    <t>de Florez</t>
  </si>
  <si>
    <t>Tatiana</t>
  </si>
  <si>
    <t>Del Corte Contreras</t>
  </si>
  <si>
    <t>Javier Fernando</t>
  </si>
  <si>
    <t>Del Corte Fajardo</t>
  </si>
  <si>
    <t>Fernando</t>
  </si>
  <si>
    <t>Diaz Alvarez</t>
  </si>
  <si>
    <t>Jairo Andres</t>
  </si>
  <si>
    <t>Contreras Gamboa</t>
  </si>
  <si>
    <t>Jorge</t>
  </si>
  <si>
    <t>Morelli Perez</t>
  </si>
  <si>
    <t>Alvaro Enrique</t>
  </si>
  <si>
    <t>Diaz Pacheco</t>
  </si>
  <si>
    <t>Danna Nicole</t>
  </si>
  <si>
    <t>Duran Mora</t>
  </si>
  <si>
    <t>Cruz Helena</t>
  </si>
  <si>
    <t>Escalante Luzardo</t>
  </si>
  <si>
    <t>Luis Emilio</t>
  </si>
  <si>
    <t>Espinel</t>
  </si>
  <si>
    <t>Daniel</t>
  </si>
  <si>
    <t>Fandiño Hidalgo</t>
  </si>
  <si>
    <t>Rafael Enrique</t>
  </si>
  <si>
    <t>Florez Echeverria</t>
  </si>
  <si>
    <t>Gabriel</t>
  </si>
  <si>
    <t>Florez Faillece</t>
  </si>
  <si>
    <t>Alvaro Andres</t>
  </si>
  <si>
    <t>Diaz Diaz</t>
  </si>
  <si>
    <t>Rafael Antonio</t>
  </si>
  <si>
    <t>Florez Romero</t>
  </si>
  <si>
    <t>Valeria</t>
  </si>
  <si>
    <t>Florez Rodriguez</t>
  </si>
  <si>
    <t>Franco Rueda</t>
  </si>
  <si>
    <t>Cesar Augusto</t>
  </si>
  <si>
    <t>Fuentes Bermonth</t>
  </si>
  <si>
    <t>Camilo Alejandro</t>
  </si>
  <si>
    <t>Fuentes Lievano</t>
  </si>
  <si>
    <t>Carlos Alberto</t>
  </si>
  <si>
    <t>Fuentes Marquez</t>
  </si>
  <si>
    <t>Gonzalo</t>
  </si>
  <si>
    <t>Florez Serrano</t>
  </si>
  <si>
    <t>Elkin Gregorio</t>
  </si>
  <si>
    <t>Galavis Correa</t>
  </si>
  <si>
    <t>Sergio Andres</t>
  </si>
  <si>
    <t>Bautista Ramirez</t>
  </si>
  <si>
    <t>Jairo Jose</t>
  </si>
  <si>
    <t>Giatsidakis Haddad</t>
  </si>
  <si>
    <t>Juan Sebastian</t>
  </si>
  <si>
    <t>Mantilla Duran</t>
  </si>
  <si>
    <t>Miguel Fabian</t>
  </si>
  <si>
    <t>Gil Gil</t>
  </si>
  <si>
    <t>Giraldo Guerra</t>
  </si>
  <si>
    <t>Juan Camilo</t>
  </si>
  <si>
    <t>Gomez Botelllo</t>
  </si>
  <si>
    <t>Marco Tulio</t>
  </si>
  <si>
    <t>Gomez Franco</t>
  </si>
  <si>
    <t>Ramiro Hernando</t>
  </si>
  <si>
    <t>Lara Mora</t>
  </si>
  <si>
    <t>Alexander</t>
  </si>
  <si>
    <t>Gonzales Soto</t>
  </si>
  <si>
    <t>Gonzalez Pabon</t>
  </si>
  <si>
    <t>Jaime Enrique</t>
  </si>
  <si>
    <t>Gonzalez Parada</t>
  </si>
  <si>
    <t>Ivan</t>
  </si>
  <si>
    <t>Gutierrez Barrera</t>
  </si>
  <si>
    <t>Juan Diego</t>
  </si>
  <si>
    <t>Gutierrez Beltran</t>
  </si>
  <si>
    <t>Wilson</t>
  </si>
  <si>
    <t>Hernandez</t>
  </si>
  <si>
    <t>Javier</t>
  </si>
  <si>
    <t>Hernandez Hernandez</t>
  </si>
  <si>
    <t>German Andres</t>
  </si>
  <si>
    <t>Gonzales Quintero</t>
  </si>
  <si>
    <t>Jesus Maria</t>
  </si>
  <si>
    <t>Jaimes Quintero</t>
  </si>
  <si>
    <t>Alvaro Tomas</t>
  </si>
  <si>
    <t>Jaramillo Ramirez</t>
  </si>
  <si>
    <t>Hernandez Izquierdo</t>
  </si>
  <si>
    <t>Bibiana Karina</t>
  </si>
  <si>
    <t>Landazabal Molina</t>
  </si>
  <si>
    <t>Sergio Alfonso</t>
  </si>
  <si>
    <t>Ardila Meneses</t>
  </si>
  <si>
    <t>Giatsidakis Olivares</t>
  </si>
  <si>
    <t>Luzardo Castro</t>
  </si>
  <si>
    <t>Rangel Vera</t>
  </si>
  <si>
    <t>Jaime</t>
  </si>
  <si>
    <t>Llanes Gomez</t>
  </si>
  <si>
    <t>Juan pablo</t>
  </si>
  <si>
    <t>Mariño Larrea</t>
  </si>
  <si>
    <t>Ana Maria</t>
  </si>
  <si>
    <t>Mariño Perez</t>
  </si>
  <si>
    <t>Jose Luis</t>
  </si>
  <si>
    <t>Marquina Ramirez</t>
  </si>
  <si>
    <t>Daniel Leonardo</t>
  </si>
  <si>
    <t>Martinez Cubillos</t>
  </si>
  <si>
    <t>Andres Felipe</t>
  </si>
  <si>
    <t>Mayorga</t>
  </si>
  <si>
    <t>Mejia Esparza</t>
  </si>
  <si>
    <t>Gustavo</t>
  </si>
  <si>
    <t>Mejia Valderrama</t>
  </si>
  <si>
    <t>Gustavo Adid</t>
  </si>
  <si>
    <t xml:space="preserve">Molina </t>
  </si>
  <si>
    <t>Andres</t>
  </si>
  <si>
    <t>Montañez Mogollon</t>
  </si>
  <si>
    <t>Tomas</t>
  </si>
  <si>
    <t>Mora</t>
  </si>
  <si>
    <t>Carlos</t>
  </si>
  <si>
    <t>Morelli Navia</t>
  </si>
  <si>
    <t>Luis Miguel</t>
  </si>
  <si>
    <t>Garcia Herreros Duplat</t>
  </si>
  <si>
    <t>Miguel</t>
  </si>
  <si>
    <t>Ortega Meneses</t>
  </si>
  <si>
    <t>Roberto</t>
  </si>
  <si>
    <t>Moreno Vera</t>
  </si>
  <si>
    <t>Luis Alberto</t>
  </si>
  <si>
    <t>Moros Bayona</t>
  </si>
  <si>
    <t>Mancera Basto</t>
  </si>
  <si>
    <t>Edulfo Antonio</t>
  </si>
  <si>
    <t>Moros Ramirez</t>
  </si>
  <si>
    <t>Hugo Dario</t>
  </si>
  <si>
    <t>Mutis Arteaga</t>
  </si>
  <si>
    <t>Emilia</t>
  </si>
  <si>
    <t>Moros Quintero</t>
  </si>
  <si>
    <t>Alberto</t>
  </si>
  <si>
    <t>Edgar Fernando</t>
  </si>
  <si>
    <t>Ortega Peñuela</t>
  </si>
  <si>
    <t>Schloeter Rebolledo</t>
  </si>
  <si>
    <t>Johann Karl</t>
  </si>
  <si>
    <t>Ortiz Salamanca</t>
  </si>
  <si>
    <t>Jose Guillermo</t>
  </si>
  <si>
    <t>Ospina Gelvis</t>
  </si>
  <si>
    <t>Ortiz Manrique</t>
  </si>
  <si>
    <t>Peña Torrado</t>
  </si>
  <si>
    <t>Thomas</t>
  </si>
  <si>
    <t>Peñaloza Quintero</t>
  </si>
  <si>
    <t xml:space="preserve">Rolando Enrique </t>
  </si>
  <si>
    <t>Peñaranda Canal</t>
  </si>
  <si>
    <t>Miguel Enrique</t>
  </si>
  <si>
    <t>Peñaranda Doncel</t>
  </si>
  <si>
    <t>Ivan Guillermo</t>
  </si>
  <si>
    <t>Peñaranda Gomez</t>
  </si>
  <si>
    <t>Jairo</t>
  </si>
  <si>
    <t>Perez Chacon</t>
  </si>
  <si>
    <t>Claudia Cecilia</t>
  </si>
  <si>
    <t>Perez Ferrer</t>
  </si>
  <si>
    <t>Carlos Andres</t>
  </si>
  <si>
    <t>Rangel Becerra</t>
  </si>
  <si>
    <t>Pino Granados</t>
  </si>
  <si>
    <t>Raul Andres</t>
  </si>
  <si>
    <t>Diaz Contreras</t>
  </si>
  <si>
    <t>Posada Peñaranda</t>
  </si>
  <si>
    <t>Nelson Augusto</t>
  </si>
  <si>
    <t>Posada Velasco</t>
  </si>
  <si>
    <t>Manuela</t>
  </si>
  <si>
    <t>Porras Liendo</t>
  </si>
  <si>
    <t>Eliana Marcela</t>
  </si>
  <si>
    <t>Ramirez Ballesteros</t>
  </si>
  <si>
    <t>Ricardo</t>
  </si>
  <si>
    <t>Ramirez Ortega</t>
  </si>
  <si>
    <t>Luis Antonio</t>
  </si>
  <si>
    <t>Ramirez Saad</t>
  </si>
  <si>
    <t>Pulecio Franco</t>
  </si>
  <si>
    <t>Jairo Hernando</t>
  </si>
  <si>
    <t>Silva Perez</t>
  </si>
  <si>
    <t>Jose Gustavo</t>
  </si>
  <si>
    <t>Arambula Padilla</t>
  </si>
  <si>
    <t>Alvaro</t>
  </si>
  <si>
    <t>Rico Rueda</t>
  </si>
  <si>
    <t>Carlos Hernando</t>
  </si>
  <si>
    <t>Rios Saffi</t>
  </si>
  <si>
    <t>Hugo Alberto</t>
  </si>
  <si>
    <t>Rivera</t>
  </si>
  <si>
    <t>Rivera Gomez</t>
  </si>
  <si>
    <t>Juan Ricardo</t>
  </si>
  <si>
    <t>Rivera Parada</t>
  </si>
  <si>
    <t>Tulio Enrique</t>
  </si>
  <si>
    <t>Rincon Ramirez</t>
  </si>
  <si>
    <t>Jose Oswaldo</t>
  </si>
  <si>
    <t>Rivera Rozo</t>
  </si>
  <si>
    <t>Rodolfo Antonio</t>
  </si>
  <si>
    <t>Robayo Piedrahita</t>
  </si>
  <si>
    <t>Josue Leonardo</t>
  </si>
  <si>
    <t>Rodriguez Guerrero</t>
  </si>
  <si>
    <t>Jorge Ivan</t>
  </si>
  <si>
    <t>Rodriguez Mantilla</t>
  </si>
  <si>
    <t>Eduardo</t>
  </si>
  <si>
    <t>Rodriguez Pinzon</t>
  </si>
  <si>
    <t>Nelson W</t>
  </si>
  <si>
    <t>Rodriguez Ramirez</t>
  </si>
  <si>
    <t>Gabriel A</t>
  </si>
  <si>
    <t>Rodriguez Rodriguez</t>
  </si>
  <si>
    <t>Tyrone Daniel</t>
  </si>
  <si>
    <t>Rodriguez Santander</t>
  </si>
  <si>
    <t>Robledo Assaf</t>
  </si>
  <si>
    <t>Cesar Eduardo</t>
  </si>
  <si>
    <t>Rojas Serrano</t>
  </si>
  <si>
    <t>Jorge Miguel R</t>
  </si>
  <si>
    <t>Rosal Portilla</t>
  </si>
  <si>
    <t>Andres Fernando</t>
  </si>
  <si>
    <t>Rojas Urbina</t>
  </si>
  <si>
    <t>Hernando Jose</t>
  </si>
  <si>
    <t>Ortega Madariaga</t>
  </si>
  <si>
    <t>Rueda Gomez</t>
  </si>
  <si>
    <t>Aida Janeth</t>
  </si>
  <si>
    <t>Salgar Villamizar</t>
  </si>
  <si>
    <t>Alfonso</t>
  </si>
  <si>
    <t>Salguero Marti</t>
  </si>
  <si>
    <t>Antonio Tomas</t>
  </si>
  <si>
    <t>Sanchez Duran</t>
  </si>
  <si>
    <t>Laura Juliana</t>
  </si>
  <si>
    <t>Rugeles Parra</t>
  </si>
  <si>
    <t>Henry</t>
  </si>
  <si>
    <t>Sandoval Cervantes</t>
  </si>
  <si>
    <t>Jose Santiago</t>
  </si>
  <si>
    <t>Sandoval Pinzon</t>
  </si>
  <si>
    <t>Santaella Perez</t>
  </si>
  <si>
    <t>Hector de Jesus</t>
  </si>
  <si>
    <t>Sanchez Reyes</t>
  </si>
  <si>
    <t>Gladys Edelmira</t>
  </si>
  <si>
    <t>Santos Padilla</t>
  </si>
  <si>
    <t>Silva Bermudez</t>
  </si>
  <si>
    <t>Cayetano Jesus</t>
  </si>
  <si>
    <t>German Francisco</t>
  </si>
  <si>
    <t>Silva Gamboa</t>
  </si>
  <si>
    <t>Goyeneche Montoya</t>
  </si>
  <si>
    <t>Carlos Fernando</t>
  </si>
  <si>
    <t>Silva Serrano</t>
  </si>
  <si>
    <t>German Tomas</t>
  </si>
  <si>
    <t>Suarez Barrera</t>
  </si>
  <si>
    <t>Alberto Camilo</t>
  </si>
  <si>
    <t>Rubiano Perez</t>
  </si>
  <si>
    <t>Laura Nadmiye</t>
  </si>
  <si>
    <t>Suarez Castrillón</t>
  </si>
  <si>
    <t>Fabio Orlando</t>
  </si>
  <si>
    <t>Torres Caceres</t>
  </si>
  <si>
    <t>Isabella</t>
  </si>
  <si>
    <t>Torres Cerquera</t>
  </si>
  <si>
    <t>Fredy</t>
  </si>
  <si>
    <t>Valderrama Ramirez</t>
  </si>
  <si>
    <t>Carlos Jose</t>
  </si>
  <si>
    <t>Vanegas Estrada</t>
  </si>
  <si>
    <t>Lucia</t>
  </si>
  <si>
    <t>Alvarado Rodriguez</t>
  </si>
  <si>
    <t>Lina Maria</t>
  </si>
  <si>
    <t>Vargas Caceres</t>
  </si>
  <si>
    <t>Elias Jesus</t>
  </si>
  <si>
    <t>Vargas Gonzalez</t>
  </si>
  <si>
    <t>Robiel Amed</t>
  </si>
  <si>
    <t>Velandia Herrera</t>
  </si>
  <si>
    <t>Andelfo</t>
  </si>
  <si>
    <t>Villamizar Mendoza</t>
  </si>
  <si>
    <t>Sergio</t>
  </si>
  <si>
    <t>Villamizar Perez</t>
  </si>
  <si>
    <t>Orlando Enrique</t>
  </si>
  <si>
    <t>Vargas Cuberos</t>
  </si>
  <si>
    <t>Yañez Arellano</t>
  </si>
  <si>
    <t>Oscar</t>
  </si>
  <si>
    <t>Yañez Ariza</t>
  </si>
  <si>
    <t>Diego</t>
  </si>
  <si>
    <t>Yañez Rincon</t>
  </si>
  <si>
    <t>Zulma Janeth</t>
  </si>
  <si>
    <t>Garnica Jaimes</t>
  </si>
  <si>
    <t>Marianne</t>
  </si>
  <si>
    <t>Rojas</t>
  </si>
  <si>
    <t>Dif</t>
  </si>
  <si>
    <t>H</t>
  </si>
  <si>
    <t>Equipo 1</t>
  </si>
  <si>
    <t>Equipo 2</t>
  </si>
  <si>
    <t>Azul</t>
  </si>
  <si>
    <t>Blanca</t>
  </si>
  <si>
    <t>Equipo 3</t>
  </si>
  <si>
    <t>Fecha</t>
  </si>
  <si>
    <t>Observaciones</t>
  </si>
  <si>
    <t>Gross</t>
  </si>
  <si>
    <t>Neto</t>
  </si>
  <si>
    <t>Tee Time</t>
  </si>
  <si>
    <t>Premio</t>
  </si>
  <si>
    <t>CONCEPTO</t>
  </si>
  <si>
    <t>Recaudo</t>
  </si>
  <si>
    <t>Colproyectos</t>
  </si>
  <si>
    <t>Hospiclinic</t>
  </si>
  <si>
    <t>Bolsa</t>
  </si>
  <si>
    <t>Feb - Jun</t>
  </si>
  <si>
    <t>Jul - Nov</t>
  </si>
  <si>
    <t>President</t>
  </si>
  <si>
    <t>Foursome</t>
  </si>
  <si>
    <t>1. Neto</t>
  </si>
  <si>
    <t>2. Neto</t>
  </si>
  <si>
    <t>3. Neto</t>
  </si>
  <si>
    <t>4. Neto</t>
  </si>
  <si>
    <t>5. Neto</t>
  </si>
  <si>
    <t>6. Neto</t>
  </si>
  <si>
    <t>7. Neto</t>
  </si>
  <si>
    <t>8. Neto</t>
  </si>
  <si>
    <t>(Varios elementos)</t>
  </si>
  <si>
    <t xml:space="preserve"> </t>
  </si>
  <si>
    <t>(Todas)</t>
  </si>
  <si>
    <t>CAJA MENOR</t>
  </si>
  <si>
    <t>RESULTADOS DEL SÁBADO</t>
  </si>
  <si>
    <t>PLAYERS CHAMPIONSHIP - PUNTOS ACUMULADOS</t>
  </si>
  <si>
    <t>Suma de Recaudo</t>
  </si>
  <si>
    <t>Suma de Puntos</t>
  </si>
  <si>
    <t>TEE TIME SACADOS</t>
  </si>
  <si>
    <t>Tee Time_</t>
  </si>
  <si>
    <t>Pagado</t>
  </si>
  <si>
    <t>Total general</t>
  </si>
  <si>
    <t>PREMIOS EN DINERO</t>
  </si>
  <si>
    <t>Suma de Premio</t>
  </si>
  <si>
    <t>PREMIOS EN ESPECIE</t>
  </si>
  <si>
    <t>Torneo</t>
  </si>
  <si>
    <t>Asistencia</t>
  </si>
  <si>
    <t>JUGADOR</t>
  </si>
  <si>
    <t>GROSS</t>
  </si>
  <si>
    <t>NETO</t>
  </si>
  <si>
    <t>CAMPO</t>
  </si>
  <si>
    <t>PREMIO</t>
  </si>
  <si>
    <t>POLLA</t>
  </si>
  <si>
    <t>Etiquetas de fila</t>
  </si>
  <si>
    <t>PREMIOS</t>
  </si>
  <si>
    <t>Suma de GROSS</t>
  </si>
  <si>
    <t>NETOS</t>
  </si>
  <si>
    <t>DIF</t>
  </si>
  <si>
    <t>PROM</t>
  </si>
  <si>
    <t>HOY</t>
  </si>
  <si>
    <t>BOLSA</t>
  </si>
  <si>
    <t>PLAYER</t>
  </si>
  <si>
    <t>ASEO</t>
  </si>
  <si>
    <t>ELKIN FLOREZ</t>
  </si>
  <si>
    <t>PANTHER RUN</t>
  </si>
  <si>
    <t>R</t>
  </si>
  <si>
    <t>A</t>
  </si>
  <si>
    <t>CARLOS VILLAMIZAR</t>
  </si>
  <si>
    <t>CARLOS CELIS</t>
  </si>
  <si>
    <t>RODOLFO RIVERA</t>
  </si>
  <si>
    <t>D</t>
  </si>
  <si>
    <t>JUAN MORELLI</t>
  </si>
  <si>
    <t>SERGIO LANDAZABAL</t>
  </si>
  <si>
    <t>ALVARO MORELLI</t>
  </si>
  <si>
    <t>P</t>
  </si>
  <si>
    <t>SEBASTIAN MORELLI</t>
  </si>
  <si>
    <t>JAIRO PULECIO</t>
  </si>
  <si>
    <t>TOTAL</t>
  </si>
  <si>
    <t>JOSUE ROBAYO</t>
  </si>
  <si>
    <t>STONEYBROOK</t>
  </si>
  <si>
    <t>VALENCIA</t>
  </si>
  <si>
    <t>Ptos</t>
  </si>
  <si>
    <t>Copa</t>
  </si>
  <si>
    <t>Part.</t>
  </si>
  <si>
    <t>PALMARES PRIMER PUESTO - TOUR PLAYERS</t>
  </si>
  <si>
    <t>Emilio</t>
  </si>
  <si>
    <t>(en blanco)</t>
  </si>
  <si>
    <t xml:space="preserve">Peñaranda Canal </t>
  </si>
  <si>
    <t xml:space="preserve">Rivera Parada </t>
  </si>
  <si>
    <t>Garcia Herreros</t>
  </si>
  <si>
    <t xml:space="preserve"> DuplatMiguel</t>
  </si>
  <si>
    <t>Yañez Toro</t>
  </si>
  <si>
    <t>Colmenares Rey</t>
  </si>
  <si>
    <t>Julian</t>
  </si>
  <si>
    <t>Paez</t>
  </si>
  <si>
    <t>Monsalve</t>
  </si>
  <si>
    <t>fuentes</t>
  </si>
  <si>
    <t>gonzalo</t>
  </si>
  <si>
    <t xml:space="preserve">Carlos  </t>
  </si>
  <si>
    <t>Asist</t>
  </si>
  <si>
    <t>Posicion</t>
  </si>
  <si>
    <t>Puntaje</t>
  </si>
  <si>
    <t>puntos Jornada</t>
  </si>
  <si>
    <t>PREMIOS DEL SABADO</t>
  </si>
  <si>
    <t>Valor</t>
  </si>
  <si>
    <t>PLAYERS CHAMPIONSHIP - RESULTADOS DEL MES</t>
  </si>
  <si>
    <t>Suma de Asistencia</t>
  </si>
  <si>
    <t>Mayo</t>
  </si>
  <si>
    <t>Indice_Actualizado</t>
  </si>
  <si>
    <t>Marca_Asignada</t>
  </si>
  <si>
    <t>Handicap_Juego</t>
  </si>
  <si>
    <t>Azules - 5924</t>
  </si>
  <si>
    <t>Blancas - 5710</t>
  </si>
  <si>
    <t>FECHA</t>
  </si>
  <si>
    <t>18,6</t>
  </si>
  <si>
    <t>18</t>
  </si>
  <si>
    <t>28225</t>
  </si>
  <si>
    <t>12,8</t>
  </si>
  <si>
    <t>13</t>
  </si>
  <si>
    <t>17,3</t>
  </si>
  <si>
    <t>19</t>
  </si>
  <si>
    <t>23,1</t>
  </si>
  <si>
    <t>23</t>
  </si>
  <si>
    <t>21865</t>
  </si>
  <si>
    <t>11,5</t>
  </si>
  <si>
    <t>12</t>
  </si>
  <si>
    <t>7891</t>
  </si>
  <si>
    <t>18,8</t>
  </si>
  <si>
    <t>27,3</t>
  </si>
  <si>
    <t>28</t>
  </si>
  <si>
    <t>16552</t>
  </si>
  <si>
    <t>11,7</t>
  </si>
  <si>
    <t>17,9</t>
  </si>
  <si>
    <t>20</t>
  </si>
  <si>
    <t>13625</t>
  </si>
  <si>
    <t>9,9</t>
  </si>
  <si>
    <t>10</t>
  </si>
  <si>
    <t>11,9</t>
  </si>
  <si>
    <t>26953</t>
  </si>
  <si>
    <t>8,3</t>
  </si>
  <si>
    <t>8</t>
  </si>
  <si>
    <t>30572</t>
  </si>
  <si>
    <t>19,8</t>
  </si>
  <si>
    <t>12724</t>
  </si>
  <si>
    <t>10,5</t>
  </si>
  <si>
    <t>11</t>
  </si>
  <si>
    <t>17,6</t>
  </si>
  <si>
    <t>18,3</t>
  </si>
  <si>
    <t>23,9</t>
  </si>
  <si>
    <t>24</t>
  </si>
  <si>
    <t>Equipo 4</t>
  </si>
  <si>
    <t>18908</t>
  </si>
  <si>
    <t>10,2</t>
  </si>
  <si>
    <t>25</t>
  </si>
  <si>
    <t>Junio</t>
  </si>
  <si>
    <t>24283</t>
  </si>
  <si>
    <t>15107</t>
  </si>
  <si>
    <t>17,8</t>
  </si>
  <si>
    <t>30087</t>
  </si>
  <si>
    <t>11,3</t>
  </si>
  <si>
    <t>19,2</t>
  </si>
  <si>
    <t>16,2</t>
  </si>
  <si>
    <t>18,7</t>
  </si>
  <si>
    <t>4080</t>
  </si>
  <si>
    <t>15,4</t>
  </si>
  <si>
    <t>9,8</t>
  </si>
  <si>
    <t>14</t>
  </si>
  <si>
    <t>11,4</t>
  </si>
  <si>
    <t>16260</t>
  </si>
  <si>
    <t>17,1</t>
  </si>
  <si>
    <t>18411</t>
  </si>
  <si>
    <t>24,8</t>
  </si>
  <si>
    <t>Monroy Delgado</t>
  </si>
  <si>
    <t>6.00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</si>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</sst>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$&quot;\ * #,##0_-;\-&quot;$&quot;\ * #,##0_-;_-&quot;$&quot;\ * &quot;-&quot;_-;_-@_-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&quot;$&quot;\ #,##0"/>
    <numFmt numFmtId="167" formatCode="_-* #,##0.00_-;\-* #,##0.00_-;_-* &quot;-&quot;_-;_-@_-"/>
  </numFmts>
  <fonts count="22" x14ac:knownFonts="1">
    <font>
      <sz val="11"/>
      <color indexed="8"/>
      <name val="Calibri"/>
      <family val="2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0000"/>
      <name val="Calibri"/>
      <family val="2"/>
    </font>
    <font>
      <sz val="12"/>
      <color indexed="8"/>
      <name val="Calibri"/>
      <family val="2"/>
      <scheme val="minor"/>
    </font>
    <font>
      <sz val="12"/>
      <color rgb="FF33333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339966"/>
      <name val="Calibri"/>
      <family val="2"/>
    </font>
    <font>
      <sz val="12"/>
      <color rgb="FF56585B"/>
      <name val="Calibri"/>
      <family val="2"/>
    </font>
    <font>
      <sz val="12"/>
      <color rgb="FF33333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 style="thin">
        <color rgb="FFD5D3D1"/>
      </left>
      <right style="thin">
        <color rgb="FFD5D3D1"/>
      </right>
      <top/>
      <bottom style="thin">
        <color rgb="FFD5D3D1"/>
      </bottom>
      <diagonal/>
    </border>
    <border>
      <left style="thin">
        <color rgb="FFD5D3D1"/>
      </left>
      <right style="thin">
        <color rgb="FFD5D3D1"/>
      </right>
      <top style="thin">
        <color rgb="FFD5D3D1"/>
      </top>
      <bottom/>
      <diagonal/>
    </border>
    <border>
      <left style="thin">
        <color rgb="FFD5D3D1"/>
      </left>
      <right style="thin">
        <color rgb="FFD5D3D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5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2" fontId="5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1" fillId="0" borderId="0" xfId="1" applyNumberFormat="1" applyFont="1" applyFill="1" applyBorder="1" applyAlignment="1">
      <alignment horizontal="center"/>
    </xf>
    <xf numFmtId="164" fontId="0" fillId="0" borderId="0" xfId="1" applyNumberFormat="1" applyFont="1" applyFill="1" applyBorder="1"/>
    <xf numFmtId="165" fontId="0" fillId="0" borderId="0" xfId="3" applyNumberFormat="1" applyFont="1"/>
    <xf numFmtId="16" fontId="0" fillId="0" borderId="0" xfId="0" applyNumberFormat="1"/>
    <xf numFmtId="165" fontId="1" fillId="0" borderId="0" xfId="3" applyNumberFormat="1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8" fillId="2" borderId="0" xfId="0" applyFont="1" applyFill="1"/>
    <xf numFmtId="0" fontId="0" fillId="0" borderId="0" xfId="0" pivotButton="1"/>
    <xf numFmtId="164" fontId="0" fillId="0" borderId="0" xfId="1" applyNumberFormat="1" applyFont="1" applyFill="1"/>
    <xf numFmtId="166" fontId="0" fillId="0" borderId="0" xfId="0" applyNumberFormat="1"/>
    <xf numFmtId="0" fontId="0" fillId="0" borderId="0" xfId="0" applyAlignment="1">
      <alignment horizontal="left"/>
    </xf>
    <xf numFmtId="0" fontId="11" fillId="5" borderId="5" xfId="0" applyFont="1" applyFill="1" applyBorder="1"/>
    <xf numFmtId="0" fontId="11" fillId="5" borderId="6" xfId="0" applyFont="1" applyFill="1" applyBorder="1"/>
    <xf numFmtId="10" fontId="0" fillId="0" borderId="0" xfId="4" applyNumberFormat="1" applyFont="1"/>
    <xf numFmtId="0" fontId="4" fillId="0" borderId="0" xfId="0" applyFont="1"/>
    <xf numFmtId="41" fontId="11" fillId="5" borderId="0" xfId="5" applyFont="1" applyFill="1"/>
    <xf numFmtId="41" fontId="0" fillId="0" borderId="0" xfId="5" applyFont="1"/>
    <xf numFmtId="167" fontId="0" fillId="0" borderId="0" xfId="5" applyNumberFormat="1" applyFont="1"/>
    <xf numFmtId="167" fontId="11" fillId="4" borderId="7" xfId="5" applyNumberFormat="1" applyFont="1" applyFill="1" applyBorder="1"/>
    <xf numFmtId="167" fontId="11" fillId="4" borderId="0" xfId="5" applyNumberFormat="1" applyFont="1" applyFill="1" applyBorder="1"/>
    <xf numFmtId="167" fontId="0" fillId="0" borderId="0" xfId="0" pivotButton="1" applyNumberFormat="1"/>
    <xf numFmtId="167" fontId="0" fillId="0" borderId="0" xfId="0" applyNumberFormat="1"/>
    <xf numFmtId="0" fontId="11" fillId="0" borderId="7" xfId="0" applyFont="1" applyBorder="1"/>
    <xf numFmtId="0" fontId="11" fillId="0" borderId="0" xfId="0" applyFont="1"/>
    <xf numFmtId="0" fontId="12" fillId="6" borderId="0" xfId="0" applyFont="1" applyFill="1"/>
    <xf numFmtId="0" fontId="4" fillId="4" borderId="0" xfId="0" applyFont="1" applyFill="1" applyAlignment="1">
      <alignment horizontal="center"/>
    </xf>
    <xf numFmtId="0" fontId="11" fillId="4" borderId="0" xfId="0" applyFont="1" applyFill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0" xfId="0" applyFont="1"/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NumberFormat="1"/>
    <xf numFmtId="0" fontId="0" fillId="0" borderId="0" xfId="0" applyFill="1"/>
    <xf numFmtId="0" fontId="4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left"/>
    </xf>
    <xf numFmtId="0" fontId="0" fillId="0" borderId="8" xfId="0" applyBorder="1"/>
    <xf numFmtId="0" fontId="2" fillId="0" borderId="8" xfId="0" applyFont="1" applyBorder="1" applyAlignment="1">
      <alignment horizontal="left"/>
    </xf>
    <xf numFmtId="164" fontId="0" fillId="0" borderId="8" xfId="1" applyNumberFormat="1" applyFont="1" applyFill="1" applyBorder="1"/>
    <xf numFmtId="165" fontId="0" fillId="0" borderId="8" xfId="3" applyNumberFormat="1" applyFont="1" applyBorder="1"/>
    <xf numFmtId="0" fontId="14" fillId="0" borderId="8" xfId="0" applyFont="1" applyBorder="1"/>
    <xf numFmtId="0" fontId="0" fillId="0" borderId="8" xfId="0" applyFill="1" applyBorder="1"/>
    <xf numFmtId="0" fontId="2" fillId="0" borderId="8" xfId="0" applyFont="1" applyFill="1" applyBorder="1" applyAlignment="1">
      <alignment horizontal="left"/>
    </xf>
    <xf numFmtId="165" fontId="0" fillId="0" borderId="8" xfId="3" applyNumberFormat="1" applyFont="1" applyFill="1" applyBorder="1"/>
    <xf numFmtId="0" fontId="3" fillId="0" borderId="8" xfId="0" applyFont="1" applyFill="1" applyBorder="1" applyAlignment="1">
      <alignment horizontal="left"/>
    </xf>
    <xf numFmtId="16" fontId="0" fillId="0" borderId="8" xfId="0" applyNumberFormat="1" applyBorder="1"/>
    <xf numFmtId="0" fontId="2" fillId="0" borderId="8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" fontId="0" fillId="0" borderId="8" xfId="0" applyNumberFormat="1" applyFill="1" applyBorder="1"/>
    <xf numFmtId="0" fontId="3" fillId="0" borderId="8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5" fillId="0" borderId="8" xfId="0" applyFont="1" applyBorder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4" fillId="0" borderId="0" xfId="0" applyFont="1" applyFill="1" applyAlignment="1"/>
    <xf numFmtId="0" fontId="11" fillId="4" borderId="0" xfId="0" applyFont="1" applyFill="1" applyBorder="1"/>
    <xf numFmtId="0" fontId="18" fillId="0" borderId="0" xfId="0" applyFont="1" applyBorder="1" applyAlignment="1">
      <alignment horizontal="center"/>
    </xf>
    <xf numFmtId="0" fontId="18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17" fillId="0" borderId="8" xfId="0" applyFont="1" applyBorder="1" applyAlignment="1">
      <alignment horizontal="center"/>
    </xf>
    <xf numFmtId="0" fontId="17" fillId="0" borderId="8" xfId="0" applyFont="1" applyBorder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2" fillId="0" borderId="8" xfId="0" applyNumberFormat="1" applyFont="1" applyBorder="1" applyAlignment="1">
      <alignment horizontal="right"/>
    </xf>
    <xf numFmtId="2" fontId="2" fillId="0" borderId="8" xfId="0" applyNumberFormat="1" applyFont="1" applyBorder="1" applyAlignment="1">
      <alignment horizontal="right"/>
    </xf>
    <xf numFmtId="0" fontId="2" fillId="0" borderId="0" xfId="0" applyNumberFormat="1" applyFont="1" applyAlignment="1">
      <alignment horizontal="center"/>
    </xf>
    <xf numFmtId="0" fontId="0" fillId="0" borderId="8" xfId="0" applyNumberFormat="1" applyFont="1" applyBorder="1" applyAlignment="1">
      <alignment horizontal="right"/>
    </xf>
    <xf numFmtId="0" fontId="5" fillId="0" borderId="8" xfId="1" applyNumberFormat="1" applyFont="1" applyFill="1" applyBorder="1" applyAlignment="1">
      <alignment horizontal="right"/>
    </xf>
    <xf numFmtId="0" fontId="0" fillId="0" borderId="8" xfId="1" applyNumberFormat="1" applyFont="1" applyFill="1" applyBorder="1" applyAlignment="1">
      <alignment horizontal="right"/>
    </xf>
    <xf numFmtId="0" fontId="0" fillId="0" borderId="8" xfId="0" applyNumberFormat="1" applyBorder="1" applyAlignment="1">
      <alignment horizontal="right"/>
    </xf>
    <xf numFmtId="0" fontId="0" fillId="0" borderId="0" xfId="0" applyNumberFormat="1" applyFon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0" fillId="0" borderId="0" xfId="1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164" fontId="8" fillId="2" borderId="0" xfId="1" applyNumberFormat="1" applyFont="1" applyFill="1" applyBorder="1" applyAlignment="1"/>
    <xf numFmtId="0" fontId="8" fillId="2" borderId="0" xfId="0" applyFont="1" applyFill="1" applyAlignment="1"/>
    <xf numFmtId="0" fontId="0" fillId="0" borderId="8" xfId="0" applyBorder="1" applyAlignment="1"/>
    <xf numFmtId="0" fontId="12" fillId="6" borderId="0" xfId="0" applyFont="1" applyFill="1" applyAlignment="1"/>
    <xf numFmtId="0" fontId="16" fillId="3" borderId="0" xfId="0" applyFont="1" applyFill="1" applyAlignment="1">
      <alignment horizontal="center" vertical="center" wrapText="1"/>
    </xf>
    <xf numFmtId="164" fontId="12" fillId="3" borderId="0" xfId="1" applyNumberFormat="1" applyFont="1" applyFill="1" applyBorder="1" applyAlignment="1"/>
    <xf numFmtId="0" fontId="12" fillId="3" borderId="0" xfId="0" applyFont="1" applyFill="1" applyAlignment="1"/>
    <xf numFmtId="0" fontId="7" fillId="0" borderId="8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/>
    </xf>
    <xf numFmtId="42" fontId="0" fillId="0" borderId="8" xfId="6" applyFont="1" applyBorder="1"/>
    <xf numFmtId="0" fontId="0" fillId="0" borderId="8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Font="1" applyBorder="1" applyAlignment="1">
      <alignment horizontal="center"/>
    </xf>
    <xf numFmtId="0" fontId="8" fillId="2" borderId="0" xfId="0" applyNumberFormat="1" applyFont="1" applyFill="1" applyAlignment="1"/>
    <xf numFmtId="0" fontId="12" fillId="3" borderId="0" xfId="0" applyNumberFormat="1" applyFont="1" applyFill="1" applyAlignment="1"/>
    <xf numFmtId="1" fontId="12" fillId="3" borderId="0" xfId="0" applyNumberFormat="1" applyFont="1" applyFill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0" xfId="0" applyNumberFormat="1" applyFont="1" applyBorder="1" applyAlignment="1">
      <alignment horizontal="center"/>
    </xf>
    <xf numFmtId="0" fontId="2" fillId="0" borderId="2" xfId="0" applyNumberFormat="1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4" fontId="4" fillId="0" borderId="8" xfId="1" applyNumberFormat="1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164" fontId="12" fillId="3" borderId="0" xfId="1" applyNumberFormat="1" applyFont="1" applyFill="1" applyBorder="1" applyAlignment="1">
      <alignment horizontal="left"/>
    </xf>
    <xf numFmtId="0" fontId="12" fillId="3" borderId="0" xfId="0" applyNumberFormat="1" applyFont="1" applyFill="1" applyAlignment="1">
      <alignment horizontal="right"/>
    </xf>
    <xf numFmtId="1" fontId="8" fillId="2" borderId="0" xfId="0" applyNumberFormat="1" applyFont="1" applyFill="1" applyAlignment="1"/>
    <xf numFmtId="0" fontId="3" fillId="3" borderId="0" xfId="0" applyNumberFormat="1" applyFont="1" applyFill="1" applyAlignment="1">
      <alignment horizontal="left"/>
    </xf>
    <xf numFmtId="0" fontId="9" fillId="2" borderId="0" xfId="0" applyNumberFormat="1" applyFont="1" applyFill="1" applyAlignment="1">
      <alignment horizontal="left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0" fillId="0" borderId="0" xfId="0" applyFont="1" applyAlignment="1">
      <alignment horizontal="center"/>
    </xf>
    <xf numFmtId="164" fontId="20" fillId="0" borderId="0" xfId="1" applyNumberFormat="1" applyFont="1" applyFill="1" applyBorder="1" applyAlignment="1">
      <alignment horizontal="center"/>
    </xf>
    <xf numFmtId="164" fontId="5" fillId="0" borderId="0" xfId="1" applyNumberFormat="1" applyFont="1" applyFill="1" applyBorder="1" applyAlignment="1">
      <alignment horizontal="center"/>
    </xf>
    <xf numFmtId="0" fontId="8" fillId="2" borderId="0" xfId="0" applyNumberFormat="1" applyFont="1" applyFill="1" applyAlignment="1">
      <alignment horizontal="right"/>
    </xf>
    <xf numFmtId="0" fontId="2" fillId="0" borderId="8" xfId="0" applyNumberFormat="1" applyFont="1" applyBorder="1" applyAlignment="1">
      <alignment horizontal="center"/>
    </xf>
    <xf numFmtId="0" fontId="0" fillId="0" borderId="8" xfId="0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" fillId="0" borderId="9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3" fillId="0" borderId="0" xfId="0" applyFont="1" applyFill="1" applyAlignment="1">
      <alignment horizontal="left"/>
    </xf>
    <xf numFmtId="164" fontId="12" fillId="0" borderId="0" xfId="1" applyNumberFormat="1" applyFont="1" applyFill="1" applyBorder="1" applyAlignment="1"/>
    <xf numFmtId="0" fontId="12" fillId="0" borderId="0" xfId="0" applyNumberFormat="1" applyFont="1" applyFill="1" applyAlignment="1"/>
    <xf numFmtId="0" fontId="12" fillId="3" borderId="0" xfId="0" applyFont="1" applyFill="1"/>
    <xf numFmtId="1" fontId="12" fillId="3" borderId="0" xfId="0" applyNumberFormat="1" applyFont="1" applyFill="1" applyAlignment="1"/>
    <xf numFmtId="164" fontId="8" fillId="2" borderId="0" xfId="1" applyNumberFormat="1" applyFont="1" applyFill="1" applyBorder="1" applyAlignment="1">
      <alignment horizontal="left"/>
    </xf>
    <xf numFmtId="0" fontId="16" fillId="0" borderId="8" xfId="0" applyFont="1" applyFill="1" applyBorder="1" applyAlignment="1">
      <alignment horizontal="center" vertical="center" wrapText="1"/>
    </xf>
    <xf numFmtId="0" fontId="14" fillId="0" borderId="8" xfId="0" applyFont="1" applyBorder="1" applyAlignment="1">
      <alignment horizontal="center"/>
    </xf>
    <xf numFmtId="0" fontId="0" fillId="0" borderId="8" xfId="0" applyFont="1" applyBorder="1" applyAlignment="1">
      <alignment horizontal="right"/>
    </xf>
    <xf numFmtId="0" fontId="20" fillId="0" borderId="8" xfId="1" applyNumberFormat="1" applyFont="1" applyFill="1" applyBorder="1" applyAlignment="1">
      <alignment horizontal="right"/>
    </xf>
    <xf numFmtId="0" fontId="20" fillId="0" borderId="8" xfId="0" applyFont="1" applyBorder="1" applyAlignment="1">
      <alignment horizontal="right"/>
    </xf>
    <xf numFmtId="164" fontId="5" fillId="0" borderId="8" xfId="1" applyNumberFormat="1" applyFont="1" applyFill="1" applyBorder="1" applyAlignment="1">
      <alignment horizontal="right"/>
    </xf>
    <xf numFmtId="0" fontId="16" fillId="3" borderId="0" xfId="0" applyFont="1" applyFill="1" applyAlignment="1">
      <alignment horizontal="center" vertical="center" textRotation="90" wrapText="1"/>
    </xf>
    <xf numFmtId="20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textRotation="90" wrapText="1"/>
    </xf>
    <xf numFmtId="20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</cellXfs>
  <cellStyles count="7">
    <cellStyle name="Millares" xfId="1" builtinId="3"/>
    <cellStyle name="Millares [0]" xfId="5" builtinId="6"/>
    <cellStyle name="Moneda" xfId="3" builtinId="4"/>
    <cellStyle name="Moneda [0]" xfId="6" builtinId="7"/>
    <cellStyle name="Normal" xfId="0" builtinId="0"/>
    <cellStyle name="Normal 2" xfId="2" xr:uid="{DF28723D-F336-4A9C-8C4F-86AEBB9E43CD}"/>
    <cellStyle name="Porcentaje" xfId="4" builtinId="5"/>
  </cellStyles>
  <dxfs count="3">
    <dxf>
      <numFmt numFmtId="165" formatCode="_-&quot;$&quot;\ * #,##0_-;\-&quot;$&quot;\ * #,##0_-;_-&quot;$&quot;\ * &quot;-&quot;??_-;_-@_-"/>
    </dxf>
    <dxf>
      <numFmt numFmtId="167" formatCode="_-* #,##0.00_-;\-* #,##0.00_-;_-* &quot;-&quot;_-;_-@_-"/>
    </dxf>
    <dxf>
      <numFmt numFmtId="167" formatCode="_-* #,##0.00_-;\-* #,##0.00_-;_-* &quot;-&quot;_-;_-@_-"/>
    </dxf>
  </dxfs>
  <tableStyles count="0" defaultTableStyle="TableStyleMedium2" defaultPivotStyle="PivotStyleLight16"/>
  <colors>
    <mruColors>
      <color rgb="FF0033CC"/>
      <color rgb="FF5117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7620</xdr:colOff>
          <xdr:row>4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Actualizar HCPS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7620</xdr:colOff>
          <xdr:row>5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🎲 Abrir Sorteo en Vivo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10732</xdr:colOff>
      <xdr:row>3</xdr:row>
      <xdr:rowOff>10732</xdr:rowOff>
    </xdr:from>
    <xdr:to>
      <xdr:col>2</xdr:col>
      <xdr:colOff>21465</xdr:colOff>
      <xdr:row>4</xdr:row>
      <xdr:rowOff>198549</xdr:rowOff>
    </xdr:to>
    <xdr:sp macro="[0]!GenerarInformeWhatsAp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8BCE0A3-A7A8-40A0-F42B-40AC93DCDAA7}"/>
            </a:ext>
          </a:extLst>
        </xdr:cNvPr>
        <xdr:cNvSpPr/>
      </xdr:nvSpPr>
      <xdr:spPr>
        <a:xfrm>
          <a:off x="520521" y="606380"/>
          <a:ext cx="1330817" cy="38636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/>
            <a:t>Generar Informe </a:t>
          </a:r>
          <a:endParaRPr lang="es-CO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34.793563657404" createdVersion="8" refreshedVersion="8" minRefreshableVersion="3" recordCount="350" xr:uid="{197FD876-C5E8-F243-9A9F-DAA95A306FA5}">
  <cacheSource type="worksheet">
    <worksheetSource name="RESULTADOS"/>
  </cacheSource>
  <cacheFields count="16">
    <cacheField name="Fecha" numFmtId="0">
      <sharedItems containsNonDate="0" containsDate="1" containsString="0" containsBlank="1" minDate="2026-04-25T00:00:00" maxDate="2026-08-02T00:00:00" count="13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</sharedItems>
    </cacheField>
    <cacheField name="Codigo" numFmtId="0">
      <sharedItems containsString="0" containsBlank="1" containsNumber="1" containsInteger="1" minValue="351" maxValue="666667" count="53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</sharedItems>
    </cacheField>
    <cacheField name="Apellidos" numFmtId="0">
      <sharedItems containsBlank="1" count="52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m/>
      </sharedItems>
    </cacheField>
    <cacheField name="Nombre" numFmtId="0">
      <sharedItems containsBlank="1" count="49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Blank="1" count="5">
        <m/>
        <s v="Colproyectos" u="1"/>
        <s v="Pretemporada" u="1"/>
        <s v="Hospiclinic" u="1"/>
        <s v="Legalite" u="1"/>
      </sharedItems>
    </cacheField>
    <cacheField name="Gross" numFmtId="0">
      <sharedItems containsString="0" containsBlank="1" containsNumber="1" containsInteger="1" minValue="74" maxValue="117"/>
    </cacheField>
    <cacheField name="Neto" numFmtId="0">
      <sharedItems containsString="0" containsBlank="1" containsNumber="1" containsInteger="1" minValue="-28" maxValue="94"/>
    </cacheField>
    <cacheField name="Tee Time" numFmtId="0">
      <sharedItems containsString="0" containsBlank="1" containsNumber="1" containsInteger="1" minValue="1" maxValue="10"/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minValue="0" maxValue="1032000" count="49">
        <n v="1032000"/>
        <n v="300000"/>
        <n v="410000"/>
        <n v="277000"/>
        <n v="270000"/>
        <n v="340000"/>
        <m/>
        <n v="330000"/>
        <n v="620000"/>
        <n v="807000"/>
        <n v="200000"/>
        <n v="160000"/>
        <n v="100000"/>
        <n v="580000"/>
        <n v="80000"/>
        <n v="120000"/>
        <n v="430000"/>
        <n v="420000"/>
        <n v="667000"/>
        <n v="480000"/>
        <n v="390000"/>
        <n v="310000"/>
        <n v="380000"/>
        <n v="60000"/>
        <n v="167000"/>
        <n v="130000"/>
        <n v="30000"/>
        <n v="85000"/>
        <n v="180000"/>
        <n v="110000"/>
        <n v="140000"/>
        <n v="50000"/>
        <n v="220000"/>
        <n v="170000"/>
        <n v="190000"/>
        <n v="35000"/>
        <n v="0" u="1"/>
        <n v="90000" u="1"/>
        <n v="75000" u="1"/>
        <n v="175000" u="1"/>
        <n v="105000" u="1"/>
        <n v="20000" u="1"/>
        <n v="210000" u="1"/>
        <n v="70000" u="1"/>
        <n v="230000" u="1"/>
        <n v="123334.33333333333" u="1"/>
        <n v="123333" u="1"/>
        <n v="205000" u="1"/>
        <n v="185000" u="1"/>
      </sharedItems>
    </cacheField>
    <cacheField name="Asistencia" numFmtId="0">
      <sharedItems containsString="0" containsBlank="1" containsNumber="1" containsInteger="1" minValue="1" maxValue="11"/>
    </cacheField>
    <cacheField name="CONCEPTO" numFmtId="165">
      <sharedItems containsNonDate="0" containsBlank="1" count="20">
        <m/>
        <s v="1 Lugar" u="1"/>
        <s v="2 Lugar" u="1"/>
        <s v="4 Lugar" u="1"/>
        <s v="5 Lugar" u="1"/>
        <s v="6 Lugar" u="1"/>
        <s v="7 Lugar" u="1"/>
        <s v="Close to the Ping" u="1"/>
        <s v="Enero" u="1"/>
        <s v="Pretemporada" u="1"/>
        <s v="1 Mes Feb" u="1"/>
        <s v="1 Puesto" u="1"/>
        <s v="2 Puesto" u="1"/>
        <s v="3 Puesto" u="1"/>
        <s v="4 Puesto" u="1"/>
        <s v="7 Puesto" u="1"/>
        <s v="Mid Amateur" u="1"/>
        <s v="Bolsa" u="1"/>
        <s v="Copa Colombia" u="1"/>
        <s v="3 Lugar" u="1"/>
      </sharedItems>
    </cacheField>
    <cacheField name="Recaudo" numFmtId="165">
      <sharedItems containsString="0" containsBlank="1" containsNumber="1" containsInteger="1" minValue="100000" maxValue="2050000" count="17">
        <m/>
        <n v="2050000"/>
        <n v="250000"/>
        <n v="180000"/>
        <n v="100000"/>
        <n v="140000"/>
        <n v="170000"/>
        <n v="110000"/>
        <n v="200000" u="1"/>
        <n v="270000" u="1"/>
        <n v="1780000" u="1"/>
        <n v="220000" u="1"/>
        <n v="320000" u="1"/>
        <n v="240000" u="1"/>
        <n v="480000" u="1"/>
        <n v="260000" u="1"/>
        <n v="3000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34.793564814812" createdVersion="8" refreshedVersion="8" minRefreshableVersion="3" recordCount="24" xr:uid="{3B6148C5-109E-3047-A25C-10986EA76BC4}">
  <cacheSource type="worksheet">
    <worksheetSource ref="A1:F25" sheet="Hoja1"/>
  </cacheSource>
  <cacheFields count="6">
    <cacheField name="JUGADOR" numFmtId="0">
      <sharedItems count="8">
        <s v="ELKIN FLOREZ"/>
        <s v="CARLOS CELIS"/>
        <s v="SERGIO LANDAZABAL"/>
        <s v="ALVARO MORELLI"/>
        <s v="SEBASTIAN MORELLI"/>
        <s v="RODOLFO RIVERA"/>
        <s v="JAIRO PULECIO"/>
        <s v="JOSUE ROBAYO"/>
      </sharedItems>
    </cacheField>
    <cacheField name="H" numFmtId="0">
      <sharedItems containsSemiMixedTypes="0" containsString="0" containsNumber="1" containsInteger="1" minValue="12" maxValue="38"/>
    </cacheField>
    <cacheField name="GROSS" numFmtId="0">
      <sharedItems containsSemiMixedTypes="0" containsString="0" containsNumber="1" containsInteger="1" minValue="0" maxValue="141"/>
    </cacheField>
    <cacheField name="NETO" numFmtId="0">
      <sharedItems containsSemiMixedTypes="0" containsString="0" containsNumber="1" containsInteger="1" minValue="65" maxValue="103"/>
    </cacheField>
    <cacheField name="CAMPO" numFmtId="0">
      <sharedItems/>
    </cacheField>
    <cacheField name="PREMIO" numFmtId="0">
      <sharedItems containsString="0" containsBlank="1" containsNumber="1" containsInteger="1" minValue="-40" maxValue="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34.793565046297" createdVersion="8" refreshedVersion="8" minRefreshableVersion="3" recordCount="250" xr:uid="{5F1445CE-3DA0-45C0-8437-712C050A58E1}">
  <cacheSource type="worksheet">
    <worksheetSource ref="A1:P251" sheet="Resultados"/>
  </cacheSource>
  <cacheFields count="16">
    <cacheField name="Fecha" numFmtId="0">
      <sharedItems containsNonDate="0" containsDate="1" containsString="0" containsBlank="1" minDate="2026-04-25T00:00:00" maxDate="2026-08-02T00:00:00" count="13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</sharedItems>
    </cacheField>
    <cacheField name="Codigo" numFmtId="0">
      <sharedItems containsString="0" containsBlank="1" containsNumber="1" containsInteger="1" minValue="351" maxValue="666667" count="53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</sharedItems>
    </cacheField>
    <cacheField name="Apellidos" numFmtId="0">
      <sharedItems containsBlank="1" count="52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m/>
      </sharedItems>
    </cacheField>
    <cacheField name="Nombre" numFmtId="0">
      <sharedItems containsBlank="1" count="49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String="0" containsBlank="1"/>
    </cacheField>
    <cacheField name="Gross" numFmtId="0">
      <sharedItems containsString="0" containsBlank="1" containsNumber="1" containsInteger="1" minValue="74" maxValue="117" count="38">
        <m/>
        <n v="95"/>
        <n v="99"/>
        <n v="87"/>
        <n v="93"/>
        <n v="98"/>
        <n v="92"/>
        <n v="108"/>
        <n v="85"/>
        <n v="106"/>
        <n v="88"/>
        <n v="90"/>
        <n v="113"/>
        <n v="103"/>
        <n v="86"/>
        <n v="89"/>
        <n v="96"/>
        <n v="91"/>
        <n v="83"/>
        <n v="104"/>
        <n v="77"/>
        <n v="110"/>
        <n v="102"/>
        <n v="81"/>
        <n v="107"/>
        <n v="105"/>
        <n v="79"/>
        <n v="82"/>
        <n v="97"/>
        <n v="94"/>
        <n v="84"/>
        <n v="117"/>
        <n v="80"/>
        <n v="100"/>
        <n v="78"/>
        <n v="114"/>
        <n v="101"/>
        <n v="74"/>
      </sharedItems>
    </cacheField>
    <cacheField name="Neto" numFmtId="0">
      <sharedItems containsString="0" containsBlank="1" containsNumber="1" containsInteger="1" minValue="-28" maxValue="94" count="38">
        <m/>
        <n v="69"/>
        <n v="75"/>
        <n v="70"/>
        <n v="71"/>
        <n v="73"/>
        <n v="76"/>
        <n v="82"/>
        <n v="81"/>
        <n v="67"/>
        <n v="79"/>
        <n v="74"/>
        <n v="78"/>
        <n v="68"/>
        <n v="84"/>
        <n v="77"/>
        <n v="80"/>
        <n v="88"/>
        <n v="89"/>
        <n v="72"/>
        <n v="66"/>
        <n v="65"/>
        <n v="94"/>
        <n v="85"/>
        <n v="87"/>
        <n v="90"/>
        <n v="64"/>
        <n v="-28"/>
        <n v="-19"/>
        <n v="-11"/>
        <n v="-16"/>
        <n v="-18"/>
        <n v="-15"/>
        <n v="-10"/>
        <n v="-8"/>
        <n v="-14"/>
        <n v="-12"/>
        <n v="-25"/>
      </sharedItems>
    </cacheField>
    <cacheField name="Tee Time" numFmtId="0">
      <sharedItems containsString="0" containsBlank="1" containsNumber="1" containsInteger="1" minValue="1" maxValue="10"/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containsInteger="1" minValue="30000" maxValue="1032000"/>
    </cacheField>
    <cacheField name="Asistencia" numFmtId="0">
      <sharedItems containsString="0" containsBlank="1" containsNumber="1" containsInteger="1" minValue="1" maxValue="11"/>
    </cacheField>
    <cacheField name="CONCEPTO" numFmtId="165">
      <sharedItems containsNonDate="0" containsString="0" containsBlank="1"/>
    </cacheField>
    <cacheField name="Recaudo" numFmtId="165">
      <sharedItems containsString="0" containsBlank="1" containsNumber="1" containsInteger="1" minValue="100000" maxValue="20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34.793565162036" createdVersion="8" refreshedVersion="8" minRefreshableVersion="3" recordCount="265" xr:uid="{27615C1F-BA05-4213-A009-5CFBF37844EF}">
  <cacheSource type="worksheet">
    <worksheetSource ref="A1:P266" sheet="Resultados"/>
  </cacheSource>
  <cacheFields count="16">
    <cacheField name="Fecha" numFmtId="0">
      <sharedItems containsNonDate="0" containsDate="1" containsString="0" containsBlank="1" minDate="2026-04-25T00:00:00" maxDate="2026-08-02T00:00:00" count="13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</sharedItems>
    </cacheField>
    <cacheField name="Codigo" numFmtId="0">
      <sharedItems containsString="0" containsBlank="1" containsNumber="1" containsInteger="1" minValue="351" maxValue="666667" count="53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</sharedItems>
    </cacheField>
    <cacheField name="Apellidos" numFmtId="0">
      <sharedItems containsBlank="1" count="52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m/>
      </sharedItems>
    </cacheField>
    <cacheField name="Nombre" numFmtId="0">
      <sharedItems containsBlank="1" count="49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String="0" containsBlank="1"/>
    </cacheField>
    <cacheField name="Gross" numFmtId="0">
      <sharedItems containsString="0" containsBlank="1" containsNumber="1" containsInteger="1" minValue="74" maxValue="117"/>
    </cacheField>
    <cacheField name="Neto" numFmtId="0">
      <sharedItems containsString="0" containsBlank="1" containsNumber="1" containsInteger="1" minValue="-28" maxValue="94"/>
    </cacheField>
    <cacheField name="Tee Time" numFmtId="0">
      <sharedItems containsString="0" containsBlank="1" containsNumber="1" containsInteger="1" minValue="1" maxValue="10" count="7">
        <n v="5"/>
        <n v="4"/>
        <m/>
        <n v="3"/>
        <n v="2"/>
        <n v="1"/>
        <n v="10"/>
      </sharedItems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containsInteger="1" minValue="30000" maxValue="1032000"/>
    </cacheField>
    <cacheField name="Asistencia" numFmtId="0">
      <sharedItems containsString="0" containsBlank="1" containsNumber="1" containsInteger="1" minValue="1" maxValue="11"/>
    </cacheField>
    <cacheField name="CONCEPTO" numFmtId="165">
      <sharedItems containsNonDate="0" containsString="0" containsBlank="1"/>
    </cacheField>
    <cacheField name="Recaudo" numFmtId="165">
      <sharedItems containsString="0" containsBlank="1" containsNumber="1" containsInteger="1" minValue="100000" maxValue="20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">
  <r>
    <x v="0"/>
    <x v="0"/>
    <x v="0"/>
    <x v="0"/>
    <m/>
    <m/>
    <m/>
    <x v="0"/>
    <m/>
    <m/>
    <n v="5"/>
    <n v="935"/>
    <x v="0"/>
    <n v="11"/>
    <x v="0"/>
    <x v="0"/>
  </r>
  <r>
    <x v="0"/>
    <x v="1"/>
    <x v="1"/>
    <x v="1"/>
    <m/>
    <m/>
    <m/>
    <x v="0"/>
    <m/>
    <m/>
    <n v="4"/>
    <n v="800"/>
    <x v="1"/>
    <n v="9"/>
    <x v="0"/>
    <x v="0"/>
  </r>
  <r>
    <x v="0"/>
    <x v="2"/>
    <x v="2"/>
    <x v="2"/>
    <m/>
    <m/>
    <m/>
    <x v="0"/>
    <m/>
    <m/>
    <m/>
    <n v="750"/>
    <x v="2"/>
    <n v="10"/>
    <x v="0"/>
    <x v="0"/>
  </r>
  <r>
    <x v="1"/>
    <x v="3"/>
    <x v="3"/>
    <x v="3"/>
    <m/>
    <m/>
    <m/>
    <x v="0"/>
    <m/>
    <m/>
    <n v="3"/>
    <n v="710"/>
    <x v="3"/>
    <n v="10"/>
    <x v="0"/>
    <x v="0"/>
  </r>
  <r>
    <x v="0"/>
    <x v="4"/>
    <x v="4"/>
    <x v="4"/>
    <m/>
    <m/>
    <m/>
    <x v="0"/>
    <m/>
    <m/>
    <n v="4"/>
    <n v="760"/>
    <x v="4"/>
    <n v="9"/>
    <x v="0"/>
    <x v="0"/>
  </r>
  <r>
    <x v="0"/>
    <x v="5"/>
    <x v="5"/>
    <x v="5"/>
    <m/>
    <m/>
    <m/>
    <x v="0"/>
    <m/>
    <m/>
    <m/>
    <n v="725"/>
    <x v="5"/>
    <n v="11"/>
    <x v="0"/>
    <x v="0"/>
  </r>
  <r>
    <x v="0"/>
    <x v="6"/>
    <x v="6"/>
    <x v="6"/>
    <m/>
    <m/>
    <m/>
    <x v="0"/>
    <m/>
    <m/>
    <m/>
    <n v="670"/>
    <x v="6"/>
    <n v="8"/>
    <x v="0"/>
    <x v="0"/>
  </r>
  <r>
    <x v="0"/>
    <x v="7"/>
    <x v="7"/>
    <x v="7"/>
    <m/>
    <m/>
    <m/>
    <x v="0"/>
    <m/>
    <m/>
    <m/>
    <n v="750"/>
    <x v="7"/>
    <n v="10"/>
    <x v="0"/>
    <x v="0"/>
  </r>
  <r>
    <x v="0"/>
    <x v="8"/>
    <x v="8"/>
    <x v="8"/>
    <m/>
    <m/>
    <m/>
    <x v="0"/>
    <m/>
    <m/>
    <m/>
    <n v="735"/>
    <x v="8"/>
    <n v="10"/>
    <x v="0"/>
    <x v="0"/>
  </r>
  <r>
    <x v="0"/>
    <x v="9"/>
    <x v="9"/>
    <x v="9"/>
    <m/>
    <m/>
    <m/>
    <x v="0"/>
    <m/>
    <m/>
    <n v="2"/>
    <n v="655"/>
    <x v="9"/>
    <n v="8"/>
    <x v="0"/>
    <x v="0"/>
  </r>
  <r>
    <x v="0"/>
    <x v="10"/>
    <x v="10"/>
    <x v="10"/>
    <m/>
    <m/>
    <m/>
    <x v="0"/>
    <m/>
    <m/>
    <m/>
    <n v="620"/>
    <x v="10"/>
    <n v="6"/>
    <x v="0"/>
    <x v="0"/>
  </r>
  <r>
    <x v="0"/>
    <x v="11"/>
    <x v="11"/>
    <x v="11"/>
    <m/>
    <m/>
    <m/>
    <x v="0"/>
    <m/>
    <m/>
    <n v="5"/>
    <n v="670"/>
    <x v="11"/>
    <n v="10"/>
    <x v="0"/>
    <x v="0"/>
  </r>
  <r>
    <x v="0"/>
    <x v="12"/>
    <x v="12"/>
    <x v="12"/>
    <m/>
    <m/>
    <m/>
    <x v="0"/>
    <m/>
    <m/>
    <m/>
    <n v="675"/>
    <x v="12"/>
    <n v="8"/>
    <x v="0"/>
    <x v="0"/>
  </r>
  <r>
    <x v="0"/>
    <x v="13"/>
    <x v="13"/>
    <x v="13"/>
    <m/>
    <m/>
    <m/>
    <x v="0"/>
    <m/>
    <m/>
    <n v="4"/>
    <n v="605"/>
    <x v="2"/>
    <n v="9"/>
    <x v="0"/>
    <x v="0"/>
  </r>
  <r>
    <x v="0"/>
    <x v="14"/>
    <x v="14"/>
    <x v="14"/>
    <m/>
    <m/>
    <m/>
    <x v="0"/>
    <m/>
    <m/>
    <n v="5"/>
    <n v="655"/>
    <x v="13"/>
    <n v="7"/>
    <x v="0"/>
    <x v="1"/>
  </r>
  <r>
    <x v="0"/>
    <x v="15"/>
    <x v="15"/>
    <x v="15"/>
    <m/>
    <m/>
    <m/>
    <x v="0"/>
    <m/>
    <m/>
    <n v="1"/>
    <n v="620"/>
    <x v="14"/>
    <n v="9"/>
    <x v="0"/>
    <x v="0"/>
  </r>
  <r>
    <x v="0"/>
    <x v="16"/>
    <x v="16"/>
    <x v="16"/>
    <m/>
    <m/>
    <m/>
    <x v="0"/>
    <m/>
    <m/>
    <m/>
    <n v="575"/>
    <x v="15"/>
    <n v="6"/>
    <x v="0"/>
    <x v="0"/>
  </r>
  <r>
    <x v="0"/>
    <x v="17"/>
    <x v="17"/>
    <x v="17"/>
    <m/>
    <m/>
    <m/>
    <x v="0"/>
    <m/>
    <m/>
    <m/>
    <n v="560"/>
    <x v="16"/>
    <n v="8"/>
    <x v="0"/>
    <x v="0"/>
  </r>
  <r>
    <x v="0"/>
    <x v="18"/>
    <x v="18"/>
    <x v="18"/>
    <m/>
    <m/>
    <m/>
    <x v="0"/>
    <m/>
    <m/>
    <m/>
    <n v="545"/>
    <x v="17"/>
    <n v="7"/>
    <x v="0"/>
    <x v="0"/>
  </r>
  <r>
    <x v="0"/>
    <x v="19"/>
    <x v="10"/>
    <x v="19"/>
    <m/>
    <m/>
    <m/>
    <x v="0"/>
    <m/>
    <m/>
    <m/>
    <n v="445"/>
    <x v="18"/>
    <n v="4"/>
    <x v="0"/>
    <x v="0"/>
  </r>
  <r>
    <x v="0"/>
    <x v="20"/>
    <x v="19"/>
    <x v="20"/>
    <m/>
    <m/>
    <m/>
    <x v="0"/>
    <m/>
    <m/>
    <m/>
    <n v="430"/>
    <x v="15"/>
    <n v="8"/>
    <x v="0"/>
    <x v="0"/>
  </r>
  <r>
    <x v="0"/>
    <x v="21"/>
    <x v="20"/>
    <x v="21"/>
    <m/>
    <m/>
    <m/>
    <x v="0"/>
    <m/>
    <m/>
    <m/>
    <n v="475"/>
    <x v="19"/>
    <n v="5"/>
    <x v="0"/>
    <x v="0"/>
  </r>
  <r>
    <x v="0"/>
    <x v="22"/>
    <x v="21"/>
    <x v="8"/>
    <m/>
    <m/>
    <m/>
    <x v="0"/>
    <m/>
    <m/>
    <m/>
    <n v="400"/>
    <x v="4"/>
    <n v="7"/>
    <x v="0"/>
    <x v="0"/>
  </r>
  <r>
    <x v="0"/>
    <x v="23"/>
    <x v="22"/>
    <x v="22"/>
    <m/>
    <m/>
    <m/>
    <x v="0"/>
    <m/>
    <m/>
    <m/>
    <n v="395"/>
    <x v="20"/>
    <n v="5"/>
    <x v="0"/>
    <x v="0"/>
  </r>
  <r>
    <x v="0"/>
    <x v="24"/>
    <x v="23"/>
    <x v="23"/>
    <m/>
    <m/>
    <m/>
    <x v="0"/>
    <m/>
    <m/>
    <m/>
    <n v="485"/>
    <x v="2"/>
    <n v="8"/>
    <x v="0"/>
    <x v="0"/>
  </r>
  <r>
    <x v="0"/>
    <x v="25"/>
    <x v="24"/>
    <x v="24"/>
    <m/>
    <m/>
    <m/>
    <x v="0"/>
    <m/>
    <m/>
    <n v="1"/>
    <n v="420"/>
    <x v="5"/>
    <n v="5"/>
    <x v="0"/>
    <x v="0"/>
  </r>
  <r>
    <x v="0"/>
    <x v="26"/>
    <x v="25"/>
    <x v="25"/>
    <m/>
    <m/>
    <m/>
    <x v="0"/>
    <m/>
    <m/>
    <n v="2"/>
    <n v="285"/>
    <x v="21"/>
    <n v="4"/>
    <x v="0"/>
    <x v="0"/>
  </r>
  <r>
    <x v="0"/>
    <x v="27"/>
    <x v="26"/>
    <x v="26"/>
    <m/>
    <m/>
    <m/>
    <x v="0"/>
    <m/>
    <m/>
    <m/>
    <n v="255"/>
    <x v="22"/>
    <n v="4"/>
    <x v="0"/>
    <x v="0"/>
  </r>
  <r>
    <x v="0"/>
    <x v="28"/>
    <x v="27"/>
    <x v="27"/>
    <m/>
    <m/>
    <m/>
    <x v="0"/>
    <m/>
    <m/>
    <n v="10"/>
    <n v="240"/>
    <x v="23"/>
    <n v="4"/>
    <x v="0"/>
    <x v="0"/>
  </r>
  <r>
    <x v="0"/>
    <x v="29"/>
    <x v="28"/>
    <x v="28"/>
    <m/>
    <m/>
    <m/>
    <x v="0"/>
    <m/>
    <m/>
    <m/>
    <n v="270"/>
    <x v="6"/>
    <n v="4"/>
    <x v="0"/>
    <x v="0"/>
  </r>
  <r>
    <x v="0"/>
    <x v="30"/>
    <x v="29"/>
    <x v="29"/>
    <m/>
    <m/>
    <m/>
    <x v="0"/>
    <m/>
    <m/>
    <m/>
    <n v="215"/>
    <x v="23"/>
    <n v="3"/>
    <x v="0"/>
    <x v="0"/>
  </r>
  <r>
    <x v="0"/>
    <x v="31"/>
    <x v="30"/>
    <x v="30"/>
    <m/>
    <m/>
    <m/>
    <x v="0"/>
    <m/>
    <m/>
    <m/>
    <n v="210"/>
    <x v="6"/>
    <n v="3"/>
    <x v="0"/>
    <x v="0"/>
  </r>
  <r>
    <x v="0"/>
    <x v="32"/>
    <x v="31"/>
    <x v="31"/>
    <m/>
    <m/>
    <m/>
    <x v="0"/>
    <m/>
    <m/>
    <n v="1"/>
    <n v="205"/>
    <x v="23"/>
    <n v="3"/>
    <x v="0"/>
    <x v="0"/>
  </r>
  <r>
    <x v="0"/>
    <x v="33"/>
    <x v="32"/>
    <x v="32"/>
    <m/>
    <m/>
    <m/>
    <x v="0"/>
    <m/>
    <m/>
    <m/>
    <n v="130"/>
    <x v="24"/>
    <n v="2"/>
    <x v="0"/>
    <x v="0"/>
  </r>
  <r>
    <x v="0"/>
    <x v="34"/>
    <x v="33"/>
    <x v="33"/>
    <m/>
    <m/>
    <m/>
    <x v="0"/>
    <m/>
    <m/>
    <n v="1"/>
    <n v="125"/>
    <x v="23"/>
    <n v="2"/>
    <x v="0"/>
    <x v="0"/>
  </r>
  <r>
    <x v="0"/>
    <x v="35"/>
    <x v="34"/>
    <x v="27"/>
    <m/>
    <m/>
    <m/>
    <x v="0"/>
    <m/>
    <m/>
    <m/>
    <n v="110"/>
    <x v="6"/>
    <n v="1"/>
    <x v="0"/>
    <x v="0"/>
  </r>
  <r>
    <x v="0"/>
    <x v="36"/>
    <x v="35"/>
    <x v="34"/>
    <m/>
    <m/>
    <m/>
    <x v="0"/>
    <m/>
    <m/>
    <m/>
    <n v="110"/>
    <x v="6"/>
    <n v="1"/>
    <x v="0"/>
    <x v="0"/>
  </r>
  <r>
    <x v="0"/>
    <x v="37"/>
    <x v="36"/>
    <x v="35"/>
    <m/>
    <m/>
    <m/>
    <x v="0"/>
    <m/>
    <m/>
    <m/>
    <n v="90"/>
    <x v="25"/>
    <n v="1"/>
    <x v="0"/>
    <x v="0"/>
  </r>
  <r>
    <x v="0"/>
    <x v="38"/>
    <x v="37"/>
    <x v="36"/>
    <m/>
    <m/>
    <m/>
    <x v="0"/>
    <m/>
    <m/>
    <m/>
    <n v="80"/>
    <x v="26"/>
    <n v="1"/>
    <x v="0"/>
    <x v="0"/>
  </r>
  <r>
    <x v="0"/>
    <x v="39"/>
    <x v="38"/>
    <x v="9"/>
    <m/>
    <m/>
    <m/>
    <x v="0"/>
    <m/>
    <m/>
    <m/>
    <n v="80"/>
    <x v="25"/>
    <n v="1"/>
    <x v="0"/>
    <x v="0"/>
  </r>
  <r>
    <x v="0"/>
    <x v="40"/>
    <x v="39"/>
    <x v="37"/>
    <m/>
    <m/>
    <m/>
    <x v="0"/>
    <m/>
    <m/>
    <m/>
    <n v="75"/>
    <x v="27"/>
    <n v="1"/>
    <x v="0"/>
    <x v="0"/>
  </r>
  <r>
    <x v="0"/>
    <x v="41"/>
    <x v="40"/>
    <x v="38"/>
    <m/>
    <m/>
    <m/>
    <x v="0"/>
    <m/>
    <m/>
    <m/>
    <n v="75"/>
    <x v="27"/>
    <n v="1"/>
    <x v="0"/>
    <x v="0"/>
  </r>
  <r>
    <x v="0"/>
    <x v="42"/>
    <x v="41"/>
    <x v="39"/>
    <m/>
    <m/>
    <m/>
    <x v="0"/>
    <m/>
    <m/>
    <m/>
    <n v="70"/>
    <x v="6"/>
    <n v="1"/>
    <x v="0"/>
    <x v="0"/>
  </r>
  <r>
    <x v="0"/>
    <x v="43"/>
    <x v="42"/>
    <x v="40"/>
    <m/>
    <m/>
    <m/>
    <x v="0"/>
    <m/>
    <m/>
    <n v="1"/>
    <n v="70"/>
    <x v="6"/>
    <n v="2"/>
    <x v="0"/>
    <x v="0"/>
  </r>
  <r>
    <x v="0"/>
    <x v="44"/>
    <x v="43"/>
    <x v="41"/>
    <m/>
    <m/>
    <m/>
    <x v="0"/>
    <m/>
    <m/>
    <m/>
    <n v="65"/>
    <x v="6"/>
    <n v="1"/>
    <x v="0"/>
    <x v="0"/>
  </r>
  <r>
    <x v="0"/>
    <x v="45"/>
    <x v="44"/>
    <x v="42"/>
    <m/>
    <m/>
    <m/>
    <x v="0"/>
    <m/>
    <m/>
    <m/>
    <n v="65"/>
    <x v="6"/>
    <n v="1"/>
    <x v="0"/>
    <x v="0"/>
  </r>
  <r>
    <x v="0"/>
    <x v="46"/>
    <x v="38"/>
    <x v="32"/>
    <m/>
    <m/>
    <m/>
    <x v="0"/>
    <m/>
    <m/>
    <m/>
    <n v="60"/>
    <x v="6"/>
    <n v="1"/>
    <x v="0"/>
    <x v="0"/>
  </r>
  <r>
    <x v="0"/>
    <x v="47"/>
    <x v="45"/>
    <x v="43"/>
    <m/>
    <m/>
    <m/>
    <x v="0"/>
    <m/>
    <m/>
    <n v="1"/>
    <n v="50"/>
    <x v="6"/>
    <n v="1"/>
    <x v="0"/>
    <x v="0"/>
  </r>
  <r>
    <x v="0"/>
    <x v="48"/>
    <x v="46"/>
    <x v="44"/>
    <m/>
    <m/>
    <m/>
    <x v="0"/>
    <m/>
    <m/>
    <m/>
    <n v="35"/>
    <x v="6"/>
    <n v="1"/>
    <x v="0"/>
    <x v="0"/>
  </r>
  <r>
    <x v="0"/>
    <x v="49"/>
    <x v="47"/>
    <x v="45"/>
    <m/>
    <m/>
    <m/>
    <x v="0"/>
    <m/>
    <m/>
    <m/>
    <n v="30"/>
    <x v="6"/>
    <n v="1"/>
    <x v="0"/>
    <x v="0"/>
  </r>
  <r>
    <x v="1"/>
    <x v="50"/>
    <x v="48"/>
    <x v="46"/>
    <m/>
    <m/>
    <m/>
    <x v="0"/>
    <m/>
    <m/>
    <m/>
    <n v="95"/>
    <x v="28"/>
    <n v="1"/>
    <x v="0"/>
    <x v="0"/>
  </r>
  <r>
    <x v="2"/>
    <x v="9"/>
    <x v="9"/>
    <x v="9"/>
    <m/>
    <m/>
    <m/>
    <x v="0"/>
    <m/>
    <m/>
    <m/>
    <n v="95"/>
    <x v="6"/>
    <n v="1"/>
    <x v="0"/>
    <x v="0"/>
  </r>
  <r>
    <x v="2"/>
    <x v="0"/>
    <x v="0"/>
    <x v="0"/>
    <m/>
    <m/>
    <m/>
    <x v="0"/>
    <m/>
    <m/>
    <m/>
    <n v="65"/>
    <x v="6"/>
    <n v="1"/>
    <x v="0"/>
    <x v="2"/>
  </r>
  <r>
    <x v="2"/>
    <x v="14"/>
    <x v="14"/>
    <x v="14"/>
    <m/>
    <m/>
    <m/>
    <x v="0"/>
    <m/>
    <m/>
    <m/>
    <n v="90"/>
    <x v="6"/>
    <n v="1"/>
    <x v="0"/>
    <x v="0"/>
  </r>
  <r>
    <x v="2"/>
    <x v="11"/>
    <x v="11"/>
    <x v="11"/>
    <m/>
    <m/>
    <m/>
    <x v="0"/>
    <m/>
    <m/>
    <m/>
    <n v="95"/>
    <x v="6"/>
    <n v="1"/>
    <x v="0"/>
    <x v="0"/>
  </r>
  <r>
    <x v="2"/>
    <x v="20"/>
    <x v="19"/>
    <x v="20"/>
    <m/>
    <m/>
    <m/>
    <x v="0"/>
    <m/>
    <m/>
    <m/>
    <n v="60"/>
    <x v="6"/>
    <n v="1"/>
    <x v="0"/>
    <x v="0"/>
  </r>
  <r>
    <x v="2"/>
    <x v="8"/>
    <x v="8"/>
    <x v="8"/>
    <m/>
    <m/>
    <m/>
    <x v="0"/>
    <m/>
    <m/>
    <m/>
    <n v="75"/>
    <x v="6"/>
    <n v="1"/>
    <x v="0"/>
    <x v="0"/>
  </r>
  <r>
    <x v="2"/>
    <x v="29"/>
    <x v="28"/>
    <x v="28"/>
    <m/>
    <m/>
    <m/>
    <x v="0"/>
    <m/>
    <m/>
    <m/>
    <n v="80"/>
    <x v="6"/>
    <n v="1"/>
    <x v="0"/>
    <x v="0"/>
  </r>
  <r>
    <x v="2"/>
    <x v="2"/>
    <x v="2"/>
    <x v="2"/>
    <m/>
    <m/>
    <m/>
    <x v="0"/>
    <m/>
    <m/>
    <m/>
    <n v="95"/>
    <x v="6"/>
    <n v="1"/>
    <x v="0"/>
    <x v="0"/>
  </r>
  <r>
    <x v="2"/>
    <x v="24"/>
    <x v="23"/>
    <x v="23"/>
    <m/>
    <m/>
    <m/>
    <x v="0"/>
    <m/>
    <m/>
    <m/>
    <n v="100"/>
    <x v="6"/>
    <n v="1"/>
    <x v="0"/>
    <x v="0"/>
  </r>
  <r>
    <x v="2"/>
    <x v="7"/>
    <x v="7"/>
    <x v="7"/>
    <m/>
    <m/>
    <m/>
    <x v="0"/>
    <m/>
    <m/>
    <m/>
    <n v="75"/>
    <x v="6"/>
    <n v="1"/>
    <x v="0"/>
    <x v="0"/>
  </r>
  <r>
    <x v="2"/>
    <x v="28"/>
    <x v="27"/>
    <x v="27"/>
    <m/>
    <m/>
    <m/>
    <x v="0"/>
    <m/>
    <m/>
    <m/>
    <n v="85"/>
    <x v="6"/>
    <n v="1"/>
    <x v="0"/>
    <x v="0"/>
  </r>
  <r>
    <x v="2"/>
    <x v="22"/>
    <x v="21"/>
    <x v="8"/>
    <m/>
    <m/>
    <m/>
    <x v="0"/>
    <m/>
    <m/>
    <m/>
    <n v="70"/>
    <x v="6"/>
    <n v="1"/>
    <x v="0"/>
    <x v="0"/>
  </r>
  <r>
    <x v="3"/>
    <x v="9"/>
    <x v="9"/>
    <x v="9"/>
    <m/>
    <m/>
    <m/>
    <x v="0"/>
    <m/>
    <m/>
    <m/>
    <n v="100"/>
    <x v="11"/>
    <n v="1"/>
    <x v="0"/>
    <x v="0"/>
  </r>
  <r>
    <x v="3"/>
    <x v="6"/>
    <x v="6"/>
    <x v="6"/>
    <m/>
    <m/>
    <m/>
    <x v="0"/>
    <m/>
    <m/>
    <m/>
    <n v="100"/>
    <x v="11"/>
    <n v="1"/>
    <x v="0"/>
    <x v="0"/>
  </r>
  <r>
    <x v="3"/>
    <x v="4"/>
    <x v="4"/>
    <x v="4"/>
    <m/>
    <m/>
    <m/>
    <x v="0"/>
    <m/>
    <m/>
    <m/>
    <n v="95"/>
    <x v="29"/>
    <n v="1"/>
    <x v="0"/>
    <x v="0"/>
  </r>
  <r>
    <x v="3"/>
    <x v="20"/>
    <x v="19"/>
    <x v="20"/>
    <m/>
    <m/>
    <m/>
    <x v="0"/>
    <m/>
    <m/>
    <m/>
    <n v="50"/>
    <x v="6"/>
    <n v="1"/>
    <x v="0"/>
    <x v="0"/>
  </r>
  <r>
    <x v="3"/>
    <x v="3"/>
    <x v="3"/>
    <x v="3"/>
    <m/>
    <m/>
    <m/>
    <x v="0"/>
    <m/>
    <m/>
    <m/>
    <n v="70"/>
    <x v="6"/>
    <n v="1"/>
    <x v="0"/>
    <x v="0"/>
  </r>
  <r>
    <x v="3"/>
    <x v="25"/>
    <x v="24"/>
    <x v="24"/>
    <m/>
    <m/>
    <m/>
    <x v="0"/>
    <m/>
    <m/>
    <m/>
    <n v="65"/>
    <x v="6"/>
    <n v="1"/>
    <x v="0"/>
    <x v="0"/>
  </r>
  <r>
    <x v="3"/>
    <x v="5"/>
    <x v="5"/>
    <x v="5"/>
    <m/>
    <m/>
    <m/>
    <x v="0"/>
    <m/>
    <m/>
    <n v="5"/>
    <n v="60"/>
    <x v="6"/>
    <n v="1"/>
    <x v="0"/>
    <x v="0"/>
  </r>
  <r>
    <x v="3"/>
    <x v="17"/>
    <x v="17"/>
    <x v="17"/>
    <m/>
    <m/>
    <m/>
    <x v="0"/>
    <m/>
    <m/>
    <m/>
    <n v="50"/>
    <x v="6"/>
    <n v="1"/>
    <x v="0"/>
    <x v="0"/>
  </r>
  <r>
    <x v="3"/>
    <x v="11"/>
    <x v="11"/>
    <x v="11"/>
    <m/>
    <m/>
    <m/>
    <x v="0"/>
    <m/>
    <m/>
    <m/>
    <n v="80"/>
    <x v="6"/>
    <n v="1"/>
    <x v="0"/>
    <x v="0"/>
  </r>
  <r>
    <x v="3"/>
    <x v="16"/>
    <x v="16"/>
    <x v="16"/>
    <m/>
    <m/>
    <m/>
    <x v="0"/>
    <m/>
    <m/>
    <m/>
    <n v="50"/>
    <x v="6"/>
    <n v="1"/>
    <x v="0"/>
    <x v="0"/>
  </r>
  <r>
    <x v="3"/>
    <x v="27"/>
    <x v="26"/>
    <x v="26"/>
    <m/>
    <m/>
    <m/>
    <x v="0"/>
    <m/>
    <m/>
    <m/>
    <n v="80"/>
    <x v="6"/>
    <n v="1"/>
    <x v="0"/>
    <x v="0"/>
  </r>
  <r>
    <x v="3"/>
    <x v="33"/>
    <x v="32"/>
    <x v="32"/>
    <m/>
    <m/>
    <m/>
    <x v="0"/>
    <m/>
    <m/>
    <m/>
    <n v="75"/>
    <x v="6"/>
    <n v="1"/>
    <x v="0"/>
    <x v="0"/>
  </r>
  <r>
    <x v="3"/>
    <x v="10"/>
    <x v="10"/>
    <x v="10"/>
    <m/>
    <m/>
    <m/>
    <x v="0"/>
    <m/>
    <m/>
    <n v="1"/>
    <n v="90"/>
    <x v="6"/>
    <n v="1"/>
    <x v="0"/>
    <x v="0"/>
  </r>
  <r>
    <x v="3"/>
    <x v="30"/>
    <x v="29"/>
    <x v="29"/>
    <m/>
    <m/>
    <m/>
    <x v="0"/>
    <m/>
    <m/>
    <m/>
    <n v="80"/>
    <x v="6"/>
    <n v="1"/>
    <x v="0"/>
    <x v="0"/>
  </r>
  <r>
    <x v="3"/>
    <x v="43"/>
    <x v="42"/>
    <x v="40"/>
    <m/>
    <m/>
    <m/>
    <x v="0"/>
    <m/>
    <n v="69"/>
    <m/>
    <n v="100"/>
    <x v="11"/>
    <n v="1"/>
    <x v="0"/>
    <x v="0"/>
  </r>
  <r>
    <x v="3"/>
    <x v="0"/>
    <x v="0"/>
    <x v="0"/>
    <m/>
    <m/>
    <m/>
    <x v="0"/>
    <m/>
    <m/>
    <m/>
    <n v="50"/>
    <x v="6"/>
    <n v="1"/>
    <x v="0"/>
    <x v="3"/>
  </r>
  <r>
    <x v="3"/>
    <x v="24"/>
    <x v="23"/>
    <x v="23"/>
    <m/>
    <m/>
    <m/>
    <x v="0"/>
    <m/>
    <m/>
    <m/>
    <n v="70"/>
    <x v="6"/>
    <n v="1"/>
    <x v="0"/>
    <x v="0"/>
  </r>
  <r>
    <x v="3"/>
    <x v="23"/>
    <x v="22"/>
    <x v="22"/>
    <m/>
    <m/>
    <m/>
    <x v="0"/>
    <m/>
    <m/>
    <n v="1"/>
    <n v="95"/>
    <x v="29"/>
    <n v="1"/>
    <x v="0"/>
    <x v="0"/>
  </r>
  <r>
    <x v="3"/>
    <x v="29"/>
    <x v="28"/>
    <x v="28"/>
    <m/>
    <m/>
    <m/>
    <x v="0"/>
    <m/>
    <m/>
    <m/>
    <n v="85"/>
    <x v="6"/>
    <n v="1"/>
    <x v="0"/>
    <x v="0"/>
  </r>
  <r>
    <x v="3"/>
    <x v="1"/>
    <x v="1"/>
    <x v="1"/>
    <m/>
    <m/>
    <m/>
    <x v="0"/>
    <m/>
    <m/>
    <m/>
    <n v="90"/>
    <x v="6"/>
    <n v="1"/>
    <x v="0"/>
    <x v="0"/>
  </r>
  <r>
    <x v="4"/>
    <x v="7"/>
    <x v="7"/>
    <x v="7"/>
    <m/>
    <m/>
    <n v="10"/>
    <x v="0"/>
    <m/>
    <n v="75"/>
    <m/>
    <n v="70"/>
    <x v="6"/>
    <n v="1"/>
    <x v="0"/>
    <x v="0"/>
  </r>
  <r>
    <x v="4"/>
    <x v="9"/>
    <x v="9"/>
    <x v="9"/>
    <m/>
    <m/>
    <n v="12"/>
    <x v="0"/>
    <m/>
    <n v="70"/>
    <m/>
    <n v="90"/>
    <x v="30"/>
    <n v="1"/>
    <x v="0"/>
    <x v="0"/>
  </r>
  <r>
    <x v="4"/>
    <x v="4"/>
    <x v="4"/>
    <x v="4"/>
    <m/>
    <m/>
    <n v="12"/>
    <x v="0"/>
    <m/>
    <n v="71"/>
    <m/>
    <n v="85"/>
    <x v="15"/>
    <n v="1"/>
    <x v="0"/>
    <x v="0"/>
  </r>
  <r>
    <x v="4"/>
    <x v="18"/>
    <x v="18"/>
    <x v="18"/>
    <m/>
    <m/>
    <n v="12"/>
    <x v="0"/>
    <m/>
    <n v="73"/>
    <m/>
    <n v="80"/>
    <x v="12"/>
    <n v="1"/>
    <x v="0"/>
    <x v="0"/>
  </r>
  <r>
    <x v="4"/>
    <x v="11"/>
    <x v="11"/>
    <x v="11"/>
    <m/>
    <m/>
    <n v="15"/>
    <x v="0"/>
    <m/>
    <n v="76"/>
    <m/>
    <n v="65"/>
    <x v="6"/>
    <n v="1"/>
    <x v="0"/>
    <x v="0"/>
  </r>
  <r>
    <x v="4"/>
    <x v="22"/>
    <x v="21"/>
    <x v="8"/>
    <m/>
    <m/>
    <n v="18"/>
    <x v="0"/>
    <m/>
    <n v="82"/>
    <m/>
    <n v="45"/>
    <x v="6"/>
    <n v="1"/>
    <x v="0"/>
    <x v="0"/>
  </r>
  <r>
    <x v="4"/>
    <x v="29"/>
    <x v="28"/>
    <x v="28"/>
    <m/>
    <m/>
    <n v="18"/>
    <x v="0"/>
    <m/>
    <n v="81"/>
    <m/>
    <n v="50"/>
    <x v="6"/>
    <n v="1"/>
    <x v="0"/>
    <x v="0"/>
  </r>
  <r>
    <x v="4"/>
    <x v="16"/>
    <x v="16"/>
    <x v="16"/>
    <m/>
    <m/>
    <n v="19"/>
    <x v="0"/>
    <m/>
    <n v="67"/>
    <m/>
    <n v="100"/>
    <x v="10"/>
    <n v="1"/>
    <x v="0"/>
    <x v="0"/>
  </r>
  <r>
    <x v="4"/>
    <x v="21"/>
    <x v="20"/>
    <x v="21"/>
    <m/>
    <m/>
    <n v="20"/>
    <x v="0"/>
    <m/>
    <n v="76"/>
    <n v="1"/>
    <n v="65"/>
    <x v="6"/>
    <n v="1"/>
    <x v="0"/>
    <x v="0"/>
  </r>
  <r>
    <x v="4"/>
    <x v="6"/>
    <x v="6"/>
    <x v="6"/>
    <m/>
    <m/>
    <n v="21"/>
    <x v="0"/>
    <m/>
    <n v="79"/>
    <m/>
    <n v="55"/>
    <x v="6"/>
    <n v="1"/>
    <x v="0"/>
    <x v="0"/>
  </r>
  <r>
    <x v="4"/>
    <x v="27"/>
    <x v="26"/>
    <x v="26"/>
    <m/>
    <m/>
    <n v="24"/>
    <x v="0"/>
    <m/>
    <n v="76"/>
    <m/>
    <n v="65"/>
    <x v="6"/>
    <n v="1"/>
    <x v="0"/>
    <x v="0"/>
  </r>
  <r>
    <x v="4"/>
    <x v="22"/>
    <x v="21"/>
    <x v="8"/>
    <m/>
    <m/>
    <n v="24"/>
    <x v="0"/>
    <m/>
    <n v="74"/>
    <m/>
    <n v="75"/>
    <x v="6"/>
    <n v="1"/>
    <x v="0"/>
    <x v="0"/>
  </r>
  <r>
    <x v="4"/>
    <x v="2"/>
    <x v="2"/>
    <x v="2"/>
    <m/>
    <m/>
    <n v="12"/>
    <x v="0"/>
    <m/>
    <n v="76"/>
    <n v="1"/>
    <n v="65"/>
    <x v="6"/>
    <n v="1"/>
    <x v="0"/>
    <x v="0"/>
  </r>
  <r>
    <x v="4"/>
    <x v="10"/>
    <x v="10"/>
    <x v="10"/>
    <m/>
    <m/>
    <n v="13"/>
    <x v="0"/>
    <m/>
    <n v="78"/>
    <m/>
    <n v="60"/>
    <x v="6"/>
    <n v="1"/>
    <x v="0"/>
    <x v="0"/>
  </r>
  <r>
    <x v="4"/>
    <x v="0"/>
    <x v="0"/>
    <x v="0"/>
    <m/>
    <m/>
    <n v="14"/>
    <x v="0"/>
    <m/>
    <n v="82"/>
    <m/>
    <n v="45"/>
    <x v="6"/>
    <n v="1"/>
    <x v="0"/>
    <x v="4"/>
  </r>
  <r>
    <x v="4"/>
    <x v="3"/>
    <x v="3"/>
    <x v="3"/>
    <m/>
    <m/>
    <n v="16"/>
    <x v="0"/>
    <m/>
    <n v="81"/>
    <m/>
    <n v="50"/>
    <x v="6"/>
    <n v="1"/>
    <x v="0"/>
    <x v="0"/>
  </r>
  <r>
    <x v="4"/>
    <x v="1"/>
    <x v="1"/>
    <x v="1"/>
    <m/>
    <m/>
    <n v="24"/>
    <x v="0"/>
    <m/>
    <n v="79"/>
    <m/>
    <n v="55"/>
    <x v="6"/>
    <n v="1"/>
    <x v="0"/>
    <x v="0"/>
  </r>
  <r>
    <x v="4"/>
    <x v="5"/>
    <x v="5"/>
    <x v="5"/>
    <m/>
    <m/>
    <n v="24"/>
    <x v="0"/>
    <m/>
    <n v="76"/>
    <m/>
    <n v="65"/>
    <x v="6"/>
    <n v="1"/>
    <x v="0"/>
    <x v="0"/>
  </r>
  <r>
    <x v="4"/>
    <x v="15"/>
    <x v="15"/>
    <x v="15"/>
    <m/>
    <m/>
    <n v="27"/>
    <x v="0"/>
    <m/>
    <n v="79"/>
    <m/>
    <n v="55"/>
    <x v="6"/>
    <n v="1"/>
    <x v="0"/>
    <x v="0"/>
  </r>
  <r>
    <x v="4"/>
    <x v="17"/>
    <x v="17"/>
    <x v="17"/>
    <m/>
    <m/>
    <n v="29"/>
    <x v="0"/>
    <m/>
    <n v="68"/>
    <m/>
    <n v="95"/>
    <x v="28"/>
    <n v="1"/>
    <x v="0"/>
    <x v="0"/>
  </r>
  <r>
    <x v="5"/>
    <x v="3"/>
    <x v="3"/>
    <x v="3"/>
    <n v="14.9"/>
    <s v="Azul"/>
    <n v="16"/>
    <x v="0"/>
    <n v="95"/>
    <n v="79"/>
    <m/>
    <n v="65"/>
    <x v="6"/>
    <n v="1"/>
    <x v="0"/>
    <x v="0"/>
  </r>
  <r>
    <x v="5"/>
    <x v="0"/>
    <x v="0"/>
    <x v="0"/>
    <n v="13.8"/>
    <s v="Azul"/>
    <n v="15"/>
    <x v="0"/>
    <n v="99"/>
    <n v="84"/>
    <n v="1"/>
    <n v="55"/>
    <x v="6"/>
    <n v="1"/>
    <x v="0"/>
    <x v="0"/>
  </r>
  <r>
    <x v="5"/>
    <x v="22"/>
    <x v="21"/>
    <x v="8"/>
    <n v="17.600000000000001"/>
    <s v="Blanca"/>
    <n v="18"/>
    <x v="0"/>
    <n v="87"/>
    <n v="69"/>
    <m/>
    <n v="100"/>
    <x v="10"/>
    <n v="1"/>
    <x v="0"/>
    <x v="0"/>
  </r>
  <r>
    <x v="5"/>
    <x v="10"/>
    <x v="10"/>
    <x v="10"/>
    <n v="13"/>
    <s v="Azul"/>
    <n v="14"/>
    <x v="0"/>
    <n v="93"/>
    <n v="79"/>
    <m/>
    <n v="65"/>
    <x v="6"/>
    <n v="1"/>
    <x v="0"/>
    <x v="5"/>
  </r>
  <r>
    <x v="5"/>
    <x v="6"/>
    <x v="6"/>
    <x v="6"/>
    <n v="22.3"/>
    <s v="Blanca"/>
    <n v="20"/>
    <x v="0"/>
    <n v="95"/>
    <n v="75"/>
    <m/>
    <n v="80"/>
    <x v="6"/>
    <n v="1"/>
    <x v="0"/>
    <x v="0"/>
  </r>
  <r>
    <x v="5"/>
    <x v="1"/>
    <x v="1"/>
    <x v="1"/>
    <n v="22.7"/>
    <s v="Blanca"/>
    <n v="24"/>
    <x v="0"/>
    <n v="98"/>
    <n v="74"/>
    <n v="1"/>
    <n v="85"/>
    <x v="31"/>
    <n v="1"/>
    <x v="0"/>
    <x v="0"/>
  </r>
  <r>
    <x v="5"/>
    <x v="11"/>
    <x v="11"/>
    <x v="11"/>
    <n v="15.6"/>
    <s v="Blanca"/>
    <n v="15"/>
    <x v="0"/>
    <n v="92"/>
    <n v="77"/>
    <m/>
    <n v="75"/>
    <x v="6"/>
    <n v="1"/>
    <x v="0"/>
    <x v="0"/>
  </r>
  <r>
    <x v="5"/>
    <x v="15"/>
    <x v="15"/>
    <x v="15"/>
    <n v="26"/>
    <s v="Blanca"/>
    <n v="28"/>
    <x v="0"/>
    <n v="108"/>
    <n v="80"/>
    <n v="1"/>
    <n v="60"/>
    <x v="6"/>
    <n v="1"/>
    <x v="0"/>
    <x v="0"/>
  </r>
  <r>
    <x v="5"/>
    <x v="23"/>
    <x v="22"/>
    <x v="22"/>
    <n v="13.3"/>
    <s v="Azul"/>
    <n v="14"/>
    <x v="0"/>
    <n v="98"/>
    <n v="84"/>
    <n v="1"/>
    <n v="55"/>
    <x v="6"/>
    <n v="1"/>
    <x v="0"/>
    <x v="0"/>
  </r>
  <r>
    <x v="5"/>
    <x v="4"/>
    <x v="4"/>
    <x v="4"/>
    <n v="11.4"/>
    <s v="Azul"/>
    <n v="12"/>
    <x v="0"/>
    <n v="85"/>
    <n v="73"/>
    <m/>
    <n v="90"/>
    <x v="15"/>
    <n v="1"/>
    <x v="0"/>
    <x v="0"/>
  </r>
  <r>
    <x v="5"/>
    <x v="16"/>
    <x v="16"/>
    <x v="16"/>
    <n v="21.6"/>
    <s v="Blanca"/>
    <n v="18"/>
    <x v="0"/>
    <n v="106"/>
    <n v="88"/>
    <m/>
    <n v="50"/>
    <x v="6"/>
    <n v="1"/>
    <x v="0"/>
    <x v="0"/>
  </r>
  <r>
    <x v="5"/>
    <x v="19"/>
    <x v="10"/>
    <x v="19"/>
    <n v="9.8000000000000007"/>
    <s v="Azul"/>
    <n v="10"/>
    <x v="0"/>
    <n v="88"/>
    <n v="78"/>
    <m/>
    <n v="70"/>
    <x v="6"/>
    <n v="1"/>
    <x v="0"/>
    <x v="0"/>
  </r>
  <r>
    <x v="5"/>
    <x v="7"/>
    <x v="7"/>
    <x v="7"/>
    <n v="9"/>
    <s v="Azul"/>
    <n v="10"/>
    <x v="0"/>
    <n v="90"/>
    <n v="80"/>
    <m/>
    <n v="60"/>
    <x v="6"/>
    <n v="1"/>
    <x v="0"/>
    <x v="0"/>
  </r>
  <r>
    <x v="5"/>
    <x v="5"/>
    <x v="5"/>
    <x v="5"/>
    <n v="23.3"/>
    <s v="Blanca"/>
    <n v="24"/>
    <x v="0"/>
    <n v="113"/>
    <n v="89"/>
    <m/>
    <n v="45"/>
    <x v="6"/>
    <n v="1"/>
    <x v="0"/>
    <x v="0"/>
  </r>
  <r>
    <x v="5"/>
    <x v="51"/>
    <x v="49"/>
    <x v="47"/>
    <n v="29.8"/>
    <s v="Blanca"/>
    <n v="32"/>
    <x v="0"/>
    <n v="103"/>
    <n v="71"/>
    <m/>
    <n v="95"/>
    <x v="30"/>
    <n v="1"/>
    <x v="0"/>
    <x v="0"/>
  </r>
  <r>
    <x v="5"/>
    <x v="18"/>
    <x v="18"/>
    <x v="18"/>
    <n v="12.1"/>
    <s v="Azul"/>
    <n v="12"/>
    <x v="0"/>
    <n v="86"/>
    <n v="74"/>
    <n v="1"/>
    <n v="85"/>
    <x v="31"/>
    <n v="1"/>
    <x v="0"/>
    <x v="0"/>
  </r>
  <r>
    <x v="5"/>
    <x v="21"/>
    <x v="20"/>
    <x v="21"/>
    <n v="20.7"/>
    <s v="Blanca"/>
    <n v="20"/>
    <x v="0"/>
    <n v="89"/>
    <n v="69"/>
    <m/>
    <n v="100"/>
    <x v="10"/>
    <n v="1"/>
    <x v="0"/>
    <x v="0"/>
  </r>
  <r>
    <x v="5"/>
    <x v="17"/>
    <x v="17"/>
    <x v="17"/>
    <n v="27.1"/>
    <s v="Blanca"/>
    <n v="28"/>
    <x v="0"/>
    <n v="108"/>
    <n v="80"/>
    <m/>
    <n v="60"/>
    <x v="6"/>
    <n v="1"/>
    <x v="0"/>
    <x v="0"/>
  </r>
  <r>
    <x v="5"/>
    <x v="27"/>
    <x v="26"/>
    <x v="26"/>
    <n v="23.6"/>
    <s v="Blanca"/>
    <n v="24"/>
    <x v="0"/>
    <n v="99"/>
    <n v="75"/>
    <m/>
    <n v="80"/>
    <x v="6"/>
    <n v="1"/>
    <x v="0"/>
    <x v="0"/>
  </r>
  <r>
    <x v="5"/>
    <x v="20"/>
    <x v="19"/>
    <x v="20"/>
    <n v="18"/>
    <s v="Blanca"/>
    <n v="18"/>
    <x v="0"/>
    <n v="106"/>
    <n v="88"/>
    <m/>
    <n v="50"/>
    <x v="6"/>
    <n v="1"/>
    <x v="0"/>
    <x v="0"/>
  </r>
  <r>
    <x v="6"/>
    <x v="3"/>
    <x v="3"/>
    <x v="3"/>
    <n v="15.1"/>
    <s v="Azules - 5924"/>
    <n v="16"/>
    <x v="0"/>
    <n v="88"/>
    <n v="72"/>
    <m/>
    <n v="75"/>
    <x v="6"/>
    <n v="1"/>
    <x v="0"/>
    <x v="0"/>
  </r>
  <r>
    <x v="6"/>
    <x v="22"/>
    <x v="21"/>
    <x v="8"/>
    <n v="17.899999999999999"/>
    <s v="Azules - 5924"/>
    <n v="20"/>
    <x v="0"/>
    <n v="96"/>
    <n v="78"/>
    <m/>
    <n v="50"/>
    <x v="6"/>
    <n v="1"/>
    <x v="0"/>
    <x v="0"/>
  </r>
  <r>
    <x v="6"/>
    <x v="16"/>
    <x v="16"/>
    <x v="16"/>
    <n v="18.7"/>
    <s v="Blancas - 5710"/>
    <n v="18"/>
    <x v="0"/>
    <n v="91"/>
    <n v="73"/>
    <m/>
    <n v="70"/>
    <x v="6"/>
    <n v="1"/>
    <x v="0"/>
    <x v="0"/>
  </r>
  <r>
    <x v="6"/>
    <x v="7"/>
    <x v="7"/>
    <x v="7"/>
    <n v="10.1"/>
    <s v="Azules - 5924"/>
    <n v="10"/>
    <x v="0"/>
    <n v="90"/>
    <n v="80"/>
    <m/>
    <n v="45"/>
    <x v="6"/>
    <n v="1"/>
    <x v="0"/>
    <x v="0"/>
  </r>
  <r>
    <x v="6"/>
    <x v="11"/>
    <x v="11"/>
    <x v="11"/>
    <n v="15.7"/>
    <s v="Azules - 5924"/>
    <n v="17"/>
    <x v="0"/>
    <n v="83"/>
    <n v="68"/>
    <m/>
    <n v="90"/>
    <x v="30"/>
    <n v="1"/>
    <x v="0"/>
    <x v="0"/>
  </r>
  <r>
    <x v="6"/>
    <x v="0"/>
    <x v="0"/>
    <x v="0"/>
    <n v="15.2"/>
    <s v="Azules - 5924"/>
    <n v="16"/>
    <x v="0"/>
    <n v="104"/>
    <n v="88"/>
    <n v="1"/>
    <n v="30"/>
    <x v="6"/>
    <n v="1"/>
    <x v="0"/>
    <x v="3"/>
  </r>
  <r>
    <x v="6"/>
    <x v="9"/>
    <x v="9"/>
    <x v="9"/>
    <n v="10.9"/>
    <s v="Azules - 5924"/>
    <n v="11"/>
    <x v="0"/>
    <n v="77"/>
    <n v="66"/>
    <m/>
    <n v="95"/>
    <x v="28"/>
    <n v="1"/>
    <x v="0"/>
    <x v="0"/>
  </r>
  <r>
    <x v="6"/>
    <x v="1"/>
    <x v="1"/>
    <x v="1"/>
    <n v="23.3"/>
    <s v="Blancas - 5710"/>
    <n v="24"/>
    <x v="0"/>
    <n v="98"/>
    <n v="74"/>
    <n v="1"/>
    <n v="65"/>
    <x v="6"/>
    <n v="1"/>
    <x v="0"/>
    <x v="0"/>
  </r>
  <r>
    <x v="6"/>
    <x v="18"/>
    <x v="18"/>
    <x v="18"/>
    <n v="11.8"/>
    <s v="Azules - 5924"/>
    <n v="12"/>
    <x v="0"/>
    <n v="88"/>
    <n v="76"/>
    <n v="1"/>
    <n v="55"/>
    <x v="6"/>
    <n v="1"/>
    <x v="0"/>
    <x v="0"/>
  </r>
  <r>
    <x v="6"/>
    <x v="17"/>
    <x v="17"/>
    <x v="17"/>
    <n v="27.2"/>
    <s v="Blancas - 5710"/>
    <n v="28"/>
    <x v="0"/>
    <n v="110"/>
    <n v="82"/>
    <m/>
    <n v="35"/>
    <x v="6"/>
    <n v="1"/>
    <x v="0"/>
    <x v="0"/>
  </r>
  <r>
    <x v="6"/>
    <x v="8"/>
    <x v="8"/>
    <x v="8"/>
    <n v="23.3"/>
    <s v="Blancas - 5710"/>
    <n v="24"/>
    <x v="0"/>
    <n v="102"/>
    <n v="78"/>
    <m/>
    <n v="50"/>
    <x v="6"/>
    <n v="1"/>
    <x v="0"/>
    <x v="0"/>
  </r>
  <r>
    <x v="6"/>
    <x v="20"/>
    <x v="19"/>
    <x v="20"/>
    <n v="18"/>
    <s v="Blancas - 5710"/>
    <n v="18"/>
    <x v="0"/>
    <n v="92"/>
    <n v="74"/>
    <m/>
    <n v="65"/>
    <x v="6"/>
    <n v="1"/>
    <x v="0"/>
    <x v="0"/>
  </r>
  <r>
    <x v="6"/>
    <x v="14"/>
    <x v="14"/>
    <x v="14"/>
    <n v="16.7"/>
    <s v="Azules - 5924"/>
    <n v="18"/>
    <x v="0"/>
    <n v="89"/>
    <n v="71"/>
    <m/>
    <n v="80"/>
    <x v="14"/>
    <n v="1"/>
    <x v="0"/>
    <x v="0"/>
  </r>
  <r>
    <x v="6"/>
    <x v="2"/>
    <x v="2"/>
    <x v="2"/>
    <n v="11.6"/>
    <s v="Azules - 5924"/>
    <n v="12"/>
    <x v="0"/>
    <n v="88"/>
    <n v="76"/>
    <m/>
    <n v="55"/>
    <x v="6"/>
    <n v="1"/>
    <x v="0"/>
    <x v="0"/>
  </r>
  <r>
    <x v="6"/>
    <x v="4"/>
    <x v="4"/>
    <x v="4"/>
    <n v="11.4"/>
    <s v="Azules - 5924"/>
    <n v="12"/>
    <x v="0"/>
    <n v="81"/>
    <n v="69"/>
    <n v="1"/>
    <n v="85"/>
    <x v="12"/>
    <n v="1"/>
    <x v="0"/>
    <x v="0"/>
  </r>
  <r>
    <x v="6"/>
    <x v="21"/>
    <x v="20"/>
    <x v="21"/>
    <n v="19.5"/>
    <s v="Blancas - 5710"/>
    <n v="19"/>
    <x v="0"/>
    <n v="107"/>
    <n v="88"/>
    <m/>
    <n v="30"/>
    <x v="6"/>
    <n v="1"/>
    <x v="0"/>
    <x v="0"/>
  </r>
  <r>
    <x v="6"/>
    <x v="27"/>
    <x v="26"/>
    <x v="26"/>
    <n v="23.6"/>
    <s v="Blancas - 5710"/>
    <n v="24"/>
    <x v="0"/>
    <n v="105"/>
    <n v="81"/>
    <m/>
    <n v="40"/>
    <x v="6"/>
    <n v="1"/>
    <x v="0"/>
    <x v="0"/>
  </r>
  <r>
    <x v="6"/>
    <x v="24"/>
    <x v="23"/>
    <x v="23"/>
    <n v="9.1999999999999993"/>
    <s v="Azules - 5924"/>
    <n v="9"/>
    <x v="0"/>
    <n v="85"/>
    <n v="76"/>
    <m/>
    <n v="55"/>
    <x v="6"/>
    <n v="1"/>
    <x v="0"/>
    <x v="0"/>
  </r>
  <r>
    <x v="6"/>
    <x v="28"/>
    <x v="27"/>
    <x v="27"/>
    <n v="14.1"/>
    <s v="Azules - 5924"/>
    <n v="15"/>
    <x v="0"/>
    <n v="90"/>
    <n v="75"/>
    <n v="1"/>
    <n v="60"/>
    <x v="6"/>
    <n v="1"/>
    <x v="0"/>
    <x v="0"/>
  </r>
  <r>
    <x v="6"/>
    <x v="10"/>
    <x v="10"/>
    <x v="10"/>
    <n v="13.3"/>
    <s v="Azules - 5924"/>
    <n v="14"/>
    <x v="0"/>
    <n v="79"/>
    <n v="65"/>
    <n v="1"/>
    <n v="100"/>
    <x v="32"/>
    <n v="1"/>
    <x v="0"/>
    <x v="0"/>
  </r>
  <r>
    <x v="7"/>
    <x v="9"/>
    <x v="9"/>
    <x v="9"/>
    <n v="10.4"/>
    <s v="Azules - 5924"/>
    <n v="10"/>
    <x v="0"/>
    <n v="82"/>
    <n v="72"/>
    <m/>
    <n v="90"/>
    <x v="31"/>
    <n v="1"/>
    <x v="0"/>
    <x v="0"/>
  </r>
  <r>
    <x v="7"/>
    <x v="10"/>
    <x v="10"/>
    <x v="10"/>
    <n v="12.8"/>
    <s v="Azules - 5924"/>
    <n v="13"/>
    <x v="0"/>
    <n v="93"/>
    <n v="80"/>
    <m/>
    <n v="55"/>
    <x v="6"/>
    <n v="1"/>
    <x v="0"/>
    <x v="0"/>
  </r>
  <r>
    <x v="7"/>
    <x v="1"/>
    <x v="1"/>
    <x v="1"/>
    <n v="23.1"/>
    <s v="Blancas - 5710"/>
    <n v="23"/>
    <x v="0"/>
    <n v="98"/>
    <n v="75"/>
    <m/>
    <n v="80"/>
    <x v="6"/>
    <n v="1"/>
    <x v="0"/>
    <x v="0"/>
  </r>
  <r>
    <x v="7"/>
    <x v="16"/>
    <x v="16"/>
    <x v="16"/>
    <n v="18.7"/>
    <s v="Blancas - 5710"/>
    <n v="18"/>
    <x v="0"/>
    <n v="92"/>
    <n v="74"/>
    <m/>
    <n v="85"/>
    <x v="6"/>
    <n v="1"/>
    <x v="0"/>
    <x v="0"/>
  </r>
  <r>
    <x v="7"/>
    <x v="6"/>
    <x v="6"/>
    <x v="6"/>
    <n v="22.3"/>
    <s v="Blanca"/>
    <n v="20"/>
    <x v="0"/>
    <n v="97"/>
    <n v="77"/>
    <m/>
    <n v="70"/>
    <x v="6"/>
    <n v="1"/>
    <x v="0"/>
    <x v="0"/>
  </r>
  <r>
    <x v="7"/>
    <x v="4"/>
    <x v="4"/>
    <x v="4"/>
    <n v="11.4"/>
    <s v="Azules - 5924"/>
    <n v="12"/>
    <x v="0"/>
    <n v="81"/>
    <n v="69"/>
    <n v="1"/>
    <n v="100"/>
    <x v="11"/>
    <n v="1"/>
    <x v="0"/>
    <x v="0"/>
  </r>
  <r>
    <x v="7"/>
    <x v="22"/>
    <x v="21"/>
    <x v="8"/>
    <n v="17.899999999999999"/>
    <s v="Blancas - 5710"/>
    <n v="18"/>
    <x v="0"/>
    <n v="94"/>
    <n v="76"/>
    <m/>
    <n v="75"/>
    <x v="6"/>
    <n v="1"/>
    <x v="0"/>
    <x v="0"/>
  </r>
  <r>
    <x v="7"/>
    <x v="0"/>
    <x v="0"/>
    <x v="0"/>
    <n v="16.600000000000001"/>
    <s v="Azules - 5924"/>
    <n v="18"/>
    <x v="0"/>
    <n v="96"/>
    <n v="78"/>
    <n v="1"/>
    <n v="65"/>
    <x v="6"/>
    <n v="1"/>
    <x v="0"/>
    <x v="5"/>
  </r>
  <r>
    <x v="7"/>
    <x v="15"/>
    <x v="15"/>
    <x v="15"/>
    <n v="26"/>
    <s v="Blanca"/>
    <n v="28"/>
    <x v="0"/>
    <n v="104"/>
    <n v="76"/>
    <m/>
    <n v="75"/>
    <x v="6"/>
    <n v="1"/>
    <x v="0"/>
    <x v="0"/>
  </r>
  <r>
    <x v="7"/>
    <x v="2"/>
    <x v="2"/>
    <x v="2"/>
    <n v="11.6"/>
    <s v="Azules - 5924"/>
    <n v="12"/>
    <x v="0"/>
    <n v="84"/>
    <n v="72"/>
    <m/>
    <n v="90"/>
    <x v="31"/>
    <n v="1"/>
    <x v="0"/>
    <x v="0"/>
  </r>
  <r>
    <x v="7"/>
    <x v="23"/>
    <x v="22"/>
    <x v="22"/>
    <n v="13.3"/>
    <s v="Azul"/>
    <n v="14"/>
    <x v="0"/>
    <n v="93"/>
    <n v="79"/>
    <m/>
    <n v="60"/>
    <x v="6"/>
    <n v="1"/>
    <x v="0"/>
    <x v="0"/>
  </r>
  <r>
    <x v="7"/>
    <x v="14"/>
    <x v="14"/>
    <x v="14"/>
    <n v="16.7"/>
    <s v="Azules - 5924"/>
    <n v="18"/>
    <x v="0"/>
    <n v="88"/>
    <n v="70"/>
    <m/>
    <n v="95"/>
    <x v="30"/>
    <n v="1"/>
    <x v="0"/>
    <x v="0"/>
  </r>
  <r>
    <x v="8"/>
    <x v="22"/>
    <x v="21"/>
    <x v="8"/>
    <s v="18,6"/>
    <s v="Blancas - 5710"/>
    <s v="18"/>
    <x v="0"/>
    <n v="96"/>
    <n v="78"/>
    <m/>
    <n v="70"/>
    <x v="6"/>
    <n v="1"/>
    <x v="0"/>
    <x v="0"/>
  </r>
  <r>
    <x v="8"/>
    <x v="10"/>
    <x v="10"/>
    <x v="10"/>
    <s v="12,8"/>
    <s v="Azules - 5924"/>
    <s v="13"/>
    <x v="0"/>
    <n v="82"/>
    <n v="69"/>
    <n v="1"/>
    <n v="95"/>
    <x v="33"/>
    <n v="1"/>
    <x v="0"/>
    <x v="6"/>
  </r>
  <r>
    <x v="8"/>
    <x v="0"/>
    <x v="0"/>
    <x v="0"/>
    <s v="17,3"/>
    <s v="Azules - 5924"/>
    <s v="19"/>
    <x v="0"/>
    <n v="95"/>
    <n v="76"/>
    <n v="1"/>
    <n v="80"/>
    <x v="6"/>
    <n v="1"/>
    <x v="0"/>
    <x v="0"/>
  </r>
  <r>
    <x v="8"/>
    <x v="1"/>
    <x v="1"/>
    <x v="1"/>
    <s v="23,1"/>
    <s v="Blancas - 5710"/>
    <s v="23"/>
    <x v="0"/>
    <n v="117"/>
    <n v="94"/>
    <n v="1"/>
    <n v="40"/>
    <x v="6"/>
    <n v="1"/>
    <x v="0"/>
    <x v="0"/>
  </r>
  <r>
    <x v="8"/>
    <x v="11"/>
    <x v="11"/>
    <x v="11"/>
    <n v="16.100000000000001"/>
    <s v="Blancas - 5710"/>
    <n v="16"/>
    <x v="0"/>
    <n v="97"/>
    <n v="81"/>
    <m/>
    <n v="55"/>
    <x v="6"/>
    <n v="1"/>
    <x v="0"/>
    <x v="0"/>
  </r>
  <r>
    <x v="8"/>
    <x v="4"/>
    <x v="4"/>
    <x v="4"/>
    <s v="11,5"/>
    <s v="Azules - 5924"/>
    <s v="12"/>
    <x v="0"/>
    <n v="80"/>
    <n v="68"/>
    <n v="1"/>
    <n v="100"/>
    <x v="34"/>
    <n v="1"/>
    <x v="0"/>
    <x v="0"/>
  </r>
  <r>
    <x v="8"/>
    <x v="16"/>
    <x v="16"/>
    <x v="16"/>
    <s v="18,8"/>
    <s v="Blancas - 5710"/>
    <s v="19"/>
    <x v="0"/>
    <n v="94"/>
    <n v="75"/>
    <m/>
    <n v="85"/>
    <x v="35"/>
    <n v="1"/>
    <x v="0"/>
    <x v="0"/>
  </r>
  <r>
    <x v="8"/>
    <x v="15"/>
    <x v="15"/>
    <x v="15"/>
    <s v="27,3"/>
    <s v="Blancas - 5710"/>
    <s v="28"/>
    <x v="0"/>
    <n v="113"/>
    <n v="85"/>
    <m/>
    <n v="50"/>
    <x v="6"/>
    <n v="1"/>
    <x v="0"/>
    <x v="0"/>
  </r>
  <r>
    <x v="8"/>
    <x v="2"/>
    <x v="2"/>
    <x v="2"/>
    <s v="11,7"/>
    <s v="Azules - 5924"/>
    <s v="12"/>
    <x v="0"/>
    <n v="92"/>
    <n v="80"/>
    <m/>
    <n v="60"/>
    <x v="6"/>
    <n v="1"/>
    <x v="0"/>
    <x v="0"/>
  </r>
  <r>
    <x v="8"/>
    <x v="29"/>
    <x v="28"/>
    <x v="28"/>
    <s v="17,9"/>
    <s v="Azules - 5924"/>
    <s v="20"/>
    <x v="0"/>
    <n v="105"/>
    <n v="85"/>
    <m/>
    <n v="50"/>
    <x v="6"/>
    <n v="1"/>
    <x v="0"/>
    <x v="0"/>
  </r>
  <r>
    <x v="8"/>
    <x v="19"/>
    <x v="10"/>
    <x v="19"/>
    <s v="9,9"/>
    <s v="Azules - 5924"/>
    <s v="10"/>
    <x v="0"/>
    <n v="89"/>
    <n v="79"/>
    <m/>
    <n v="65"/>
    <x v="6"/>
    <n v="1"/>
    <x v="0"/>
    <x v="0"/>
  </r>
  <r>
    <x v="8"/>
    <x v="25"/>
    <x v="24"/>
    <x v="24"/>
    <s v="11,9"/>
    <s v="Azules - 5924"/>
    <s v="12"/>
    <x v="0"/>
    <n v="91"/>
    <n v="79"/>
    <n v="1"/>
    <n v="65"/>
    <x v="6"/>
    <n v="1"/>
    <x v="0"/>
    <x v="0"/>
  </r>
  <r>
    <x v="8"/>
    <x v="24"/>
    <x v="23"/>
    <x v="23"/>
    <s v="8,3"/>
    <s v="Azules - 5924"/>
    <s v="8"/>
    <x v="0"/>
    <n v="85"/>
    <n v="77"/>
    <n v="1"/>
    <n v="75"/>
    <x v="6"/>
    <n v="1"/>
    <x v="0"/>
    <x v="0"/>
  </r>
  <r>
    <x v="8"/>
    <x v="6"/>
    <x v="6"/>
    <x v="6"/>
    <s v="19,8"/>
    <s v="Blancas - 5710"/>
    <s v="20"/>
    <x v="0"/>
    <n v="94"/>
    <n v="74"/>
    <m/>
    <n v="90"/>
    <x v="15"/>
    <n v="1"/>
    <x v="0"/>
    <x v="0"/>
  </r>
  <r>
    <x v="8"/>
    <x v="7"/>
    <x v="7"/>
    <x v="7"/>
    <s v="10,5"/>
    <s v="Azules - 5924"/>
    <s v="11"/>
    <x v="0"/>
    <n v="89"/>
    <n v="78"/>
    <m/>
    <n v="70"/>
    <x v="6"/>
    <n v="1"/>
    <x v="0"/>
    <x v="0"/>
  </r>
  <r>
    <x v="8"/>
    <x v="26"/>
    <x v="25"/>
    <x v="25"/>
    <s v="17,6"/>
    <s v="Azules - 5924"/>
    <s v="19"/>
    <x v="0"/>
    <n v="93"/>
    <n v="74"/>
    <m/>
    <n v="90"/>
    <x v="15"/>
    <n v="1"/>
    <x v="0"/>
    <x v="0"/>
  </r>
  <r>
    <x v="8"/>
    <x v="20"/>
    <x v="19"/>
    <x v="20"/>
    <s v="18,3"/>
    <s v="Blancas - 5710"/>
    <s v="18"/>
    <x v="0"/>
    <n v="105"/>
    <n v="87"/>
    <m/>
    <n v="45"/>
    <x v="6"/>
    <n v="1"/>
    <x v="0"/>
    <x v="0"/>
  </r>
  <r>
    <x v="8"/>
    <x v="5"/>
    <x v="5"/>
    <x v="5"/>
    <s v="23,9"/>
    <s v="Blancas - 5710"/>
    <s v="24"/>
    <x v="0"/>
    <n v="100"/>
    <n v="76"/>
    <m/>
    <n v="80"/>
    <x v="6"/>
    <n v="1"/>
    <x v="0"/>
    <x v="0"/>
  </r>
  <r>
    <x v="8"/>
    <x v="21"/>
    <x v="20"/>
    <x v="21"/>
    <n v="19.5"/>
    <s v="Blancas - 5710"/>
    <n v="19"/>
    <x v="0"/>
    <n v="94"/>
    <n v="75"/>
    <m/>
    <n v="85"/>
    <x v="35"/>
    <n v="1"/>
    <x v="0"/>
    <x v="0"/>
  </r>
  <r>
    <x v="9"/>
    <x v="9"/>
    <x v="9"/>
    <x v="9"/>
    <n v="10.199999999999999"/>
    <s v="Azules - 5924"/>
    <n v="10"/>
    <x v="0"/>
    <n v="86"/>
    <n v="76"/>
    <m/>
    <n v="75"/>
    <x v="6"/>
    <n v="1"/>
    <x v="0"/>
    <x v="0"/>
  </r>
  <r>
    <x v="9"/>
    <x v="11"/>
    <x v="11"/>
    <x v="11"/>
    <n v="16.399999999999999"/>
    <s v="Blancas - 5710"/>
    <n v="16"/>
    <x v="0"/>
    <n v="91"/>
    <n v="75"/>
    <n v="1"/>
    <n v="80"/>
    <x v="6"/>
    <n v="1"/>
    <x v="0"/>
    <x v="0"/>
  </r>
  <r>
    <x v="9"/>
    <x v="22"/>
    <x v="21"/>
    <x v="8"/>
    <n v="19"/>
    <s v="Blancas - 5710"/>
    <n v="19"/>
    <x v="0"/>
    <n v="88"/>
    <n v="69"/>
    <m/>
    <n v="95"/>
    <x v="30"/>
    <n v="1"/>
    <x v="0"/>
    <x v="0"/>
  </r>
  <r>
    <x v="9"/>
    <x v="6"/>
    <x v="6"/>
    <x v="6"/>
    <n v="19.8"/>
    <s v="Blancas - 5710"/>
    <n v="20"/>
    <x v="0"/>
    <n v="94"/>
    <n v="74"/>
    <m/>
    <n v="85"/>
    <x v="6"/>
    <n v="1"/>
    <x v="0"/>
    <x v="0"/>
  </r>
  <r>
    <x v="9"/>
    <x v="16"/>
    <x v="16"/>
    <x v="16"/>
    <n v="18.8"/>
    <s v="Blancas - 5710"/>
    <n v="19"/>
    <x v="0"/>
    <n v="98"/>
    <n v="79"/>
    <m/>
    <n v="65"/>
    <x v="6"/>
    <n v="1"/>
    <x v="0"/>
    <x v="0"/>
  </r>
  <r>
    <x v="9"/>
    <x v="18"/>
    <x v="18"/>
    <x v="18"/>
    <n v="11.8"/>
    <s v="Azules - 5924"/>
    <n v="12"/>
    <x v="0"/>
    <n v="102"/>
    <n v="90"/>
    <m/>
    <n v="50"/>
    <x v="6"/>
    <n v="1"/>
    <x v="0"/>
    <x v="0"/>
  </r>
  <r>
    <x v="9"/>
    <x v="24"/>
    <x v="23"/>
    <x v="23"/>
    <n v="8.6999999999999993"/>
    <s v="Azules - 5924"/>
    <n v="8"/>
    <x v="0"/>
    <n v="89"/>
    <n v="81"/>
    <n v="1"/>
    <n v="60"/>
    <x v="6"/>
    <n v="1"/>
    <x v="0"/>
    <x v="0"/>
  </r>
  <r>
    <x v="9"/>
    <x v="19"/>
    <x v="10"/>
    <x v="19"/>
    <n v="10.199999999999999"/>
    <s v="Azules - 5924"/>
    <n v="10"/>
    <x v="0"/>
    <n v="78"/>
    <n v="68"/>
    <m/>
    <n v="100"/>
    <x v="34"/>
    <n v="1"/>
    <x v="0"/>
    <x v="0"/>
  </r>
  <r>
    <x v="9"/>
    <x v="7"/>
    <x v="7"/>
    <x v="7"/>
    <n v="10.5"/>
    <s v="Azules - 5924"/>
    <n v="11"/>
    <x v="0"/>
    <n v="88"/>
    <n v="77"/>
    <m/>
    <n v="70"/>
    <x v="6"/>
    <n v="1"/>
    <x v="0"/>
    <x v="0"/>
  </r>
  <r>
    <x v="9"/>
    <x v="8"/>
    <x v="8"/>
    <x v="8"/>
    <n v="24.4"/>
    <s v="Blancas - 5710"/>
    <n v="25"/>
    <x v="0"/>
    <n v="107"/>
    <n v="82"/>
    <m/>
    <n v="55"/>
    <x v="6"/>
    <n v="1"/>
    <x v="0"/>
    <x v="0"/>
  </r>
  <r>
    <x v="9"/>
    <x v="10"/>
    <x v="10"/>
    <x v="10"/>
    <n v="12.4"/>
    <s v="Azules - 5924"/>
    <n v="13"/>
    <x v="0"/>
    <n v="92"/>
    <n v="79"/>
    <n v="1"/>
    <n v="65"/>
    <x v="6"/>
    <n v="1"/>
    <x v="0"/>
    <x v="7"/>
  </r>
  <r>
    <x v="9"/>
    <x v="2"/>
    <x v="2"/>
    <x v="2"/>
    <n v="11.7"/>
    <s v="Azules - 5924"/>
    <n v="12"/>
    <x v="0"/>
    <n v="82"/>
    <n v="70"/>
    <m/>
    <n v="90"/>
    <x v="12"/>
    <n v="1"/>
    <x v="0"/>
    <x v="0"/>
  </r>
  <r>
    <x v="10"/>
    <x v="9"/>
    <x v="9"/>
    <x v="9"/>
    <s v="9,8"/>
    <s v="Azules - 5924"/>
    <n v="10"/>
    <x v="0"/>
    <n v="86"/>
    <n v="76"/>
    <m/>
    <n v="120"/>
    <x v="6"/>
    <n v="1"/>
    <x v="0"/>
    <x v="5"/>
  </r>
  <r>
    <x v="10"/>
    <x v="4"/>
    <x v="4"/>
    <x v="4"/>
    <s v="11,3"/>
    <s v="Azules - 5924"/>
    <s v="11"/>
    <x v="0"/>
    <n v="91"/>
    <n v="80"/>
    <m/>
    <n v="100"/>
    <x v="6"/>
    <n v="1"/>
    <x v="0"/>
    <x v="0"/>
  </r>
  <r>
    <x v="10"/>
    <x v="25"/>
    <x v="24"/>
    <x v="24"/>
    <s v="11,9"/>
    <s v="Azules - 5924"/>
    <s v="12"/>
    <x v="0"/>
    <n v="84"/>
    <n v="72"/>
    <m/>
    <n v="170"/>
    <x v="12"/>
    <n v="1"/>
    <x v="0"/>
    <x v="0"/>
  </r>
  <r>
    <x v="10"/>
    <x v="18"/>
    <x v="18"/>
    <x v="18"/>
    <n v="11.8"/>
    <s v="Azules - 5924"/>
    <n v="12"/>
    <x v="0"/>
    <n v="88"/>
    <n v="76"/>
    <m/>
    <n v="120"/>
    <x v="6"/>
    <n v="1"/>
    <x v="0"/>
    <x v="0"/>
  </r>
  <r>
    <x v="10"/>
    <x v="11"/>
    <x v="11"/>
    <x v="11"/>
    <s v="16,2"/>
    <s v="Blancas - 5710"/>
    <n v="16"/>
    <x v="0"/>
    <n v="91"/>
    <n v="75"/>
    <m/>
    <n v="130"/>
    <x v="6"/>
    <n v="1"/>
    <x v="0"/>
    <x v="0"/>
  </r>
  <r>
    <x v="10"/>
    <x v="0"/>
    <x v="0"/>
    <x v="0"/>
    <s v="17,8"/>
    <s v="Azules - 5924"/>
    <s v="19"/>
    <x v="0"/>
    <n v="100"/>
    <n v="81"/>
    <m/>
    <n v="90"/>
    <x v="6"/>
    <n v="1"/>
    <x v="0"/>
    <x v="0"/>
  </r>
  <r>
    <x v="10"/>
    <x v="26"/>
    <x v="25"/>
    <x v="25"/>
    <s v="17,6"/>
    <s v="Azules - 5924"/>
    <s v="19"/>
    <x v="0"/>
    <n v="88"/>
    <n v="69"/>
    <m/>
    <n v="180"/>
    <x v="30"/>
    <n v="1"/>
    <x v="0"/>
    <x v="0"/>
  </r>
  <r>
    <x v="10"/>
    <x v="21"/>
    <x v="20"/>
    <x v="21"/>
    <n v="19.5"/>
    <s v="Blancas - 5710"/>
    <n v="19"/>
    <x v="0"/>
    <n v="107"/>
    <n v="88"/>
    <m/>
    <n v="80"/>
    <x v="6"/>
    <n v="1"/>
    <x v="0"/>
    <x v="0"/>
  </r>
  <r>
    <x v="10"/>
    <x v="1"/>
    <x v="1"/>
    <x v="1"/>
    <s v="23,1"/>
    <s v="Blancas - 5710"/>
    <s v="23"/>
    <x v="0"/>
    <n v="96"/>
    <n v="73"/>
    <m/>
    <n v="160"/>
    <x v="6"/>
    <n v="1"/>
    <x v="0"/>
    <x v="0"/>
  </r>
  <r>
    <x v="10"/>
    <x v="8"/>
    <x v="8"/>
    <x v="8"/>
    <n v="24.4"/>
    <s v="Blancas - 5710"/>
    <n v="25"/>
    <x v="0"/>
    <n v="114"/>
    <n v="89"/>
    <m/>
    <n v="70"/>
    <x v="6"/>
    <n v="1"/>
    <x v="0"/>
    <x v="0"/>
  </r>
  <r>
    <x v="10"/>
    <x v="13"/>
    <x v="13"/>
    <x v="13"/>
    <s v="24,8"/>
    <s v="Blancas - 5710"/>
    <s v="25"/>
    <x v="0"/>
    <n v="105"/>
    <n v="80"/>
    <m/>
    <n v="100"/>
    <x v="6"/>
    <n v="1"/>
    <x v="0"/>
    <x v="0"/>
  </r>
  <r>
    <x v="10"/>
    <x v="15"/>
    <x v="15"/>
    <x v="15"/>
    <n v="27"/>
    <s v="Blancas - 5710"/>
    <s v="28"/>
    <x v="0"/>
    <n v="94"/>
    <n v="66"/>
    <m/>
    <n v="200"/>
    <x v="10"/>
    <n v="1"/>
    <x v="0"/>
    <x v="0"/>
  </r>
  <r>
    <x v="10"/>
    <x v="3"/>
    <x v="3"/>
    <x v="3"/>
    <s v="15,4"/>
    <s v="Blancas - 5710"/>
    <n v="15"/>
    <x v="0"/>
    <n v="93"/>
    <n v="78"/>
    <m/>
    <n v="110"/>
    <x v="6"/>
    <n v="1"/>
    <x v="0"/>
    <x v="0"/>
  </r>
  <r>
    <x v="10"/>
    <x v="16"/>
    <x v="16"/>
    <x v="16"/>
    <s v="18,7"/>
    <s v="Blancas - 5710"/>
    <s v="18"/>
    <x v="0"/>
    <n v="92"/>
    <n v="74"/>
    <m/>
    <n v="140"/>
    <x v="6"/>
    <n v="1"/>
    <x v="0"/>
    <x v="0"/>
  </r>
  <r>
    <x v="10"/>
    <x v="6"/>
    <x v="6"/>
    <x v="6"/>
    <s v="19,2"/>
    <s v="Blancas - 5710"/>
    <s v="19"/>
    <x v="0"/>
    <n v="86"/>
    <n v="67"/>
    <m/>
    <n v="190"/>
    <x v="11"/>
    <n v="1"/>
    <x v="0"/>
    <x v="0"/>
  </r>
  <r>
    <x v="10"/>
    <x v="20"/>
    <x v="19"/>
    <x v="20"/>
    <s v="18,3"/>
    <s v="Blancas - 5710"/>
    <s v="18"/>
    <x v="0"/>
    <n v="91"/>
    <n v="73"/>
    <m/>
    <n v="150"/>
    <x v="6"/>
    <n v="1"/>
    <x v="0"/>
    <x v="0"/>
  </r>
  <r>
    <x v="11"/>
    <x v="1"/>
    <x v="1"/>
    <x v="1"/>
    <s v="23,1"/>
    <s v="Blancas - 5710"/>
    <s v="23"/>
    <x v="0"/>
    <n v="101"/>
    <n v="78"/>
    <m/>
    <n v="110"/>
    <x v="6"/>
    <n v="1"/>
    <x v="0"/>
    <x v="0"/>
  </r>
  <r>
    <x v="11"/>
    <x v="11"/>
    <x v="11"/>
    <x v="11"/>
    <s v="16,2"/>
    <s v="Blancas - 5710"/>
    <n v="16"/>
    <x v="0"/>
    <n v="84"/>
    <n v="68"/>
    <m/>
    <n v="180"/>
    <x v="15"/>
    <n v="1"/>
    <x v="0"/>
    <x v="0"/>
  </r>
  <r>
    <x v="11"/>
    <x v="9"/>
    <x v="9"/>
    <x v="9"/>
    <s v="9,8"/>
    <s v="Azules - 5924"/>
    <n v="10"/>
    <x v="0"/>
    <n v="84"/>
    <n v="74"/>
    <m/>
    <n v="150"/>
    <x v="6"/>
    <n v="1"/>
    <x v="0"/>
    <x v="5"/>
  </r>
  <r>
    <x v="11"/>
    <x v="18"/>
    <x v="18"/>
    <x v="18"/>
    <n v="11.8"/>
    <s v="Azules - 5924"/>
    <n v="12"/>
    <x v="0"/>
    <n v="84"/>
    <n v="72"/>
    <m/>
    <n v="160"/>
    <x v="6"/>
    <n v="1"/>
    <x v="0"/>
    <x v="0"/>
  </r>
  <r>
    <x v="11"/>
    <x v="3"/>
    <x v="3"/>
    <x v="3"/>
    <s v="15,4"/>
    <s v="Blancas - 5710"/>
    <n v="15"/>
    <x v="0"/>
    <n v="85"/>
    <n v="70"/>
    <m/>
    <n v="170"/>
    <x v="31"/>
    <n v="1"/>
    <x v="0"/>
    <x v="0"/>
  </r>
  <r>
    <x v="11"/>
    <x v="4"/>
    <x v="4"/>
    <x v="4"/>
    <s v="11,3"/>
    <s v="Azules - 5924"/>
    <s v="11"/>
    <x v="0"/>
    <n v="87"/>
    <n v="76"/>
    <m/>
    <n v="130"/>
    <x v="6"/>
    <n v="1"/>
    <x v="0"/>
    <x v="0"/>
  </r>
  <r>
    <x v="11"/>
    <x v="13"/>
    <x v="13"/>
    <x v="13"/>
    <s v="24,8"/>
    <s v="Blancas - 5710"/>
    <s v="25"/>
    <x v="0"/>
    <n v="97"/>
    <n v="72"/>
    <m/>
    <n v="160"/>
    <x v="6"/>
    <n v="1"/>
    <x v="0"/>
    <x v="0"/>
  </r>
  <r>
    <x v="11"/>
    <x v="8"/>
    <x v="8"/>
    <x v="8"/>
    <n v="24.4"/>
    <s v="Blancas - 5710"/>
    <n v="25"/>
    <x v="0"/>
    <n v="102"/>
    <n v="77"/>
    <m/>
    <n v="120"/>
    <x v="6"/>
    <n v="1"/>
    <x v="0"/>
    <x v="0"/>
  </r>
  <r>
    <x v="11"/>
    <x v="15"/>
    <x v="15"/>
    <x v="15"/>
    <n v="27"/>
    <s v="Blancas - 5710"/>
    <s v="28"/>
    <x v="0"/>
    <n v="105"/>
    <n v="77"/>
    <m/>
    <n v="120"/>
    <x v="6"/>
    <n v="1"/>
    <x v="0"/>
    <x v="0"/>
  </r>
  <r>
    <x v="11"/>
    <x v="6"/>
    <x v="6"/>
    <x v="6"/>
    <s v="19,2"/>
    <s v="Blancas - 5710"/>
    <s v="19"/>
    <x v="0"/>
    <n v="91"/>
    <n v="72"/>
    <m/>
    <n v="160"/>
    <x v="6"/>
    <n v="1"/>
    <x v="0"/>
    <x v="0"/>
  </r>
  <r>
    <x v="11"/>
    <x v="26"/>
    <x v="25"/>
    <x v="25"/>
    <s v="17,6"/>
    <s v="Azules - 5924"/>
    <s v="19"/>
    <x v="0"/>
    <n v="89"/>
    <n v="70"/>
    <m/>
    <n v="170"/>
    <x v="31"/>
    <n v="1"/>
    <x v="0"/>
    <x v="0"/>
  </r>
  <r>
    <x v="11"/>
    <x v="25"/>
    <x v="24"/>
    <x v="24"/>
    <s v="11,9"/>
    <s v="Azules - 5924"/>
    <s v="12"/>
    <x v="0"/>
    <n v="79"/>
    <n v="67"/>
    <m/>
    <n v="190"/>
    <x v="11"/>
    <n v="1"/>
    <x v="0"/>
    <x v="0"/>
  </r>
  <r>
    <x v="11"/>
    <x v="2"/>
    <x v="2"/>
    <x v="2"/>
    <s v="11,4"/>
    <s v="Azules - 5924"/>
    <s v="12"/>
    <x v="0"/>
    <n v="87"/>
    <n v="75"/>
    <m/>
    <n v="140"/>
    <x v="6"/>
    <n v="1"/>
    <x v="0"/>
    <x v="0"/>
  </r>
  <r>
    <x v="11"/>
    <x v="19"/>
    <x v="10"/>
    <x v="19"/>
    <s v="10,2"/>
    <s v="Azules - 5924"/>
    <s v="10"/>
    <x v="0"/>
    <n v="82"/>
    <n v="72"/>
    <m/>
    <n v="160"/>
    <x v="6"/>
    <n v="1"/>
    <x v="0"/>
    <x v="0"/>
  </r>
  <r>
    <x v="11"/>
    <x v="7"/>
    <x v="7"/>
    <x v="7"/>
    <s v="9,9"/>
    <s v="Azules - 5924"/>
    <s v="10"/>
    <x v="0"/>
    <n v="74"/>
    <n v="64"/>
    <m/>
    <n v="200"/>
    <x v="10"/>
    <n v="1"/>
    <x v="0"/>
    <x v="0"/>
  </r>
  <r>
    <x v="11"/>
    <x v="10"/>
    <x v="10"/>
    <x v="10"/>
    <s v="13"/>
    <s v="Azules - 5924"/>
    <s v="14"/>
    <x v="0"/>
    <n v="95"/>
    <n v="81"/>
    <m/>
    <n v="100"/>
    <x v="6"/>
    <n v="1"/>
    <x v="0"/>
    <x v="0"/>
  </r>
  <r>
    <x v="12"/>
    <x v="15"/>
    <x v="15"/>
    <x v="15"/>
    <n v="27"/>
    <s v="Blancas - 5710"/>
    <s v="28"/>
    <x v="0"/>
    <m/>
    <n v="-28"/>
    <m/>
    <m/>
    <x v="6"/>
    <n v="1"/>
    <x v="0"/>
    <x v="0"/>
  </r>
  <r>
    <x v="12"/>
    <x v="0"/>
    <x v="0"/>
    <x v="0"/>
    <s v="17,8"/>
    <s v="Azules - 5924"/>
    <s v="19"/>
    <x v="0"/>
    <m/>
    <n v="-19"/>
    <m/>
    <m/>
    <x v="6"/>
    <n v="1"/>
    <x v="0"/>
    <x v="0"/>
  </r>
  <r>
    <x v="12"/>
    <x v="4"/>
    <x v="4"/>
    <x v="4"/>
    <s v="11,3"/>
    <s v="Azules - 5924"/>
    <s v="11"/>
    <x v="0"/>
    <m/>
    <n v="-11"/>
    <m/>
    <m/>
    <x v="6"/>
    <n v="1"/>
    <x v="0"/>
    <x v="0"/>
  </r>
  <r>
    <x v="12"/>
    <x v="6"/>
    <x v="6"/>
    <x v="6"/>
    <s v="19,2"/>
    <s v="Blancas - 5710"/>
    <s v="19"/>
    <x v="0"/>
    <m/>
    <n v="-19"/>
    <m/>
    <m/>
    <x v="6"/>
    <n v="1"/>
    <x v="0"/>
    <x v="0"/>
  </r>
  <r>
    <x v="12"/>
    <x v="11"/>
    <x v="11"/>
    <x v="11"/>
    <s v="16,2"/>
    <s v="Blancas - 5710"/>
    <n v="16"/>
    <x v="0"/>
    <m/>
    <n v="-16"/>
    <m/>
    <m/>
    <x v="6"/>
    <n v="1"/>
    <x v="0"/>
    <x v="0"/>
  </r>
  <r>
    <x v="12"/>
    <x v="16"/>
    <x v="16"/>
    <x v="16"/>
    <s v="18,7"/>
    <s v="Blancas - 5710"/>
    <s v="18"/>
    <x v="0"/>
    <m/>
    <n v="-18"/>
    <m/>
    <m/>
    <x v="6"/>
    <n v="1"/>
    <x v="0"/>
    <x v="0"/>
  </r>
  <r>
    <x v="12"/>
    <x v="3"/>
    <x v="3"/>
    <x v="3"/>
    <s v="15,4"/>
    <s v="Blancas - 5710"/>
    <n v="15"/>
    <x v="0"/>
    <m/>
    <n v="-15"/>
    <m/>
    <m/>
    <x v="6"/>
    <n v="1"/>
    <x v="0"/>
    <x v="0"/>
  </r>
  <r>
    <x v="12"/>
    <x v="9"/>
    <x v="9"/>
    <x v="9"/>
    <s v="9,8"/>
    <s v="Azules - 5924"/>
    <n v="10"/>
    <x v="0"/>
    <m/>
    <n v="-10"/>
    <m/>
    <m/>
    <x v="6"/>
    <n v="1"/>
    <x v="0"/>
    <x v="0"/>
  </r>
  <r>
    <x v="12"/>
    <x v="24"/>
    <x v="23"/>
    <x v="23"/>
    <s v="8,3"/>
    <s v="Azules - 5924"/>
    <s v="8"/>
    <x v="0"/>
    <m/>
    <n v="-8"/>
    <m/>
    <m/>
    <x v="6"/>
    <n v="1"/>
    <x v="0"/>
    <x v="0"/>
  </r>
  <r>
    <x v="12"/>
    <x v="19"/>
    <x v="10"/>
    <x v="19"/>
    <s v="10,2"/>
    <s v="Azules - 5924"/>
    <s v="10"/>
    <x v="0"/>
    <m/>
    <n v="-10"/>
    <m/>
    <m/>
    <x v="6"/>
    <n v="1"/>
    <x v="0"/>
    <x v="0"/>
  </r>
  <r>
    <x v="12"/>
    <x v="7"/>
    <x v="7"/>
    <x v="7"/>
    <s v="9,9"/>
    <s v="Azules - 5924"/>
    <s v="10"/>
    <x v="0"/>
    <m/>
    <n v="-10"/>
    <m/>
    <m/>
    <x v="6"/>
    <n v="1"/>
    <x v="0"/>
    <x v="0"/>
  </r>
  <r>
    <x v="12"/>
    <x v="10"/>
    <x v="10"/>
    <x v="10"/>
    <s v="13"/>
    <s v="Azules - 5924"/>
    <s v="14"/>
    <x v="0"/>
    <m/>
    <n v="-14"/>
    <m/>
    <m/>
    <x v="6"/>
    <n v="1"/>
    <x v="0"/>
    <x v="0"/>
  </r>
  <r>
    <x v="12"/>
    <x v="2"/>
    <x v="2"/>
    <x v="2"/>
    <s v="11,4"/>
    <s v="Azules - 5924"/>
    <n v="12"/>
    <x v="0"/>
    <m/>
    <n v="-12"/>
    <m/>
    <m/>
    <x v="6"/>
    <n v="1"/>
    <x v="0"/>
    <x v="0"/>
  </r>
  <r>
    <x v="12"/>
    <x v="14"/>
    <x v="14"/>
    <x v="14"/>
    <s v="17,1"/>
    <s v="Azules - 5924"/>
    <s v="19"/>
    <x v="0"/>
    <m/>
    <n v="-19"/>
    <m/>
    <m/>
    <x v="6"/>
    <n v="1"/>
    <x v="0"/>
    <x v="0"/>
  </r>
  <r>
    <x v="12"/>
    <x v="13"/>
    <x v="13"/>
    <x v="13"/>
    <s v="24,8"/>
    <s v="Blancas - 5710"/>
    <s v="25"/>
    <x v="0"/>
    <m/>
    <n v="-25"/>
    <m/>
    <m/>
    <x v="6"/>
    <n v="1"/>
    <x v="0"/>
    <x v="0"/>
  </r>
  <r>
    <x v="12"/>
    <x v="52"/>
    <x v="50"/>
    <x v="48"/>
    <n v="8.1999999999999993"/>
    <s v="Azules - 5924"/>
    <n v="8"/>
    <x v="0"/>
    <m/>
    <n v="-8"/>
    <m/>
    <m/>
    <x v="6"/>
    <n v="1"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n v="18"/>
    <n v="84"/>
    <n v="66"/>
    <s v="PANTHER RUN"/>
    <n v="110"/>
  </r>
  <r>
    <x v="1"/>
    <n v="16"/>
    <n v="84"/>
    <n v="68"/>
    <s v="PANTHER RUN"/>
    <n v="70"/>
  </r>
  <r>
    <x v="2"/>
    <n v="22"/>
    <n v="93"/>
    <n v="71"/>
    <s v="PANTHER RUN"/>
    <n v="10"/>
  </r>
  <r>
    <x v="3"/>
    <n v="12"/>
    <n v="86"/>
    <n v="74"/>
    <s v="PANTHER RUN"/>
    <n v="-10"/>
  </r>
  <r>
    <x v="4"/>
    <n v="22"/>
    <n v="96"/>
    <n v="74"/>
    <s v="PANTHER RUN"/>
    <n v="2"/>
  </r>
  <r>
    <x v="5"/>
    <n v="34"/>
    <n v="109"/>
    <n v="75"/>
    <s v="PANTHER RUN"/>
    <n v="2"/>
  </r>
  <r>
    <x v="6"/>
    <n v="23"/>
    <n v="101"/>
    <n v="78"/>
    <s v="PANTHER RUN"/>
    <n v="-2"/>
  </r>
  <r>
    <x v="7"/>
    <n v="38"/>
    <n v="120"/>
    <n v="82"/>
    <s v="PANTHER RUN"/>
    <n v="-2"/>
  </r>
  <r>
    <x v="0"/>
    <n v="18"/>
    <n v="89"/>
    <n v="71"/>
    <s v="STONEYBROOK"/>
    <n v="120"/>
  </r>
  <r>
    <x v="5"/>
    <n v="34"/>
    <n v="105"/>
    <n v="71"/>
    <s v="STONEYBROOK"/>
    <n v="60"/>
  </r>
  <r>
    <x v="6"/>
    <n v="23"/>
    <n v="104"/>
    <n v="81"/>
    <s v="STONEYBROOK"/>
    <n v="40"/>
  </r>
  <r>
    <x v="3"/>
    <n v="12"/>
    <n v="94"/>
    <n v="82"/>
    <s v="STONEYBROOK"/>
    <n v="-40"/>
  </r>
  <r>
    <x v="4"/>
    <n v="22"/>
    <n v="107"/>
    <n v="85"/>
    <s v="STONEYBROOK"/>
    <n v="30"/>
  </r>
  <r>
    <x v="2"/>
    <n v="22"/>
    <n v="110"/>
    <n v="88"/>
    <s v="STONEYBROOK"/>
    <n v="40"/>
  </r>
  <r>
    <x v="1"/>
    <n v="16"/>
    <n v="105"/>
    <n v="89"/>
    <s v="STONEYBROOK"/>
    <n v="-30"/>
  </r>
  <r>
    <x v="7"/>
    <n v="38"/>
    <n v="141"/>
    <n v="103"/>
    <s v="STONEYBROOK"/>
    <n v="-40"/>
  </r>
  <r>
    <x v="0"/>
    <n v="18"/>
    <n v="92"/>
    <n v="74"/>
    <s v="VALENCIA"/>
    <n v="60"/>
  </r>
  <r>
    <x v="5"/>
    <n v="34"/>
    <n v="105"/>
    <n v="71"/>
    <s v="VALENCIA"/>
    <n v="105"/>
  </r>
  <r>
    <x v="6"/>
    <n v="23"/>
    <n v="99"/>
    <n v="76"/>
    <s v="VALENCIA"/>
    <n v="-17"/>
  </r>
  <r>
    <x v="3"/>
    <n v="12"/>
    <n v="77"/>
    <n v="65"/>
    <s v="VALENCIA"/>
    <n v="140"/>
  </r>
  <r>
    <x v="4"/>
    <n v="22"/>
    <n v="0"/>
    <n v="100"/>
    <s v="VALENCIA"/>
    <m/>
  </r>
  <r>
    <x v="2"/>
    <n v="22"/>
    <n v="91"/>
    <n v="69"/>
    <s v="VALENCIA"/>
    <n v="102"/>
  </r>
  <r>
    <x v="1"/>
    <n v="16"/>
    <n v="95"/>
    <n v="79"/>
    <s v="VALENCIA"/>
    <n v="-40"/>
  </r>
  <r>
    <x v="7"/>
    <n v="38"/>
    <n v="111"/>
    <n v="73"/>
    <s v="VALENCIA"/>
    <n v="-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x v="0"/>
    <x v="0"/>
    <x v="0"/>
    <x v="0"/>
    <m/>
    <m/>
    <m/>
    <m/>
    <x v="0"/>
    <x v="0"/>
    <n v="5"/>
    <n v="935"/>
    <n v="1032000"/>
    <n v="11"/>
    <m/>
    <m/>
  </r>
  <r>
    <x v="0"/>
    <x v="1"/>
    <x v="1"/>
    <x v="1"/>
    <m/>
    <m/>
    <m/>
    <m/>
    <x v="0"/>
    <x v="0"/>
    <n v="4"/>
    <n v="800"/>
    <n v="300000"/>
    <n v="9"/>
    <m/>
    <m/>
  </r>
  <r>
    <x v="0"/>
    <x v="2"/>
    <x v="2"/>
    <x v="2"/>
    <m/>
    <m/>
    <m/>
    <m/>
    <x v="0"/>
    <x v="0"/>
    <m/>
    <n v="750"/>
    <n v="410000"/>
    <n v="10"/>
    <m/>
    <m/>
  </r>
  <r>
    <x v="1"/>
    <x v="3"/>
    <x v="3"/>
    <x v="3"/>
    <m/>
    <m/>
    <m/>
    <m/>
    <x v="0"/>
    <x v="0"/>
    <n v="3"/>
    <n v="710"/>
    <n v="277000"/>
    <n v="10"/>
    <m/>
    <m/>
  </r>
  <r>
    <x v="0"/>
    <x v="4"/>
    <x v="4"/>
    <x v="4"/>
    <m/>
    <m/>
    <m/>
    <m/>
    <x v="0"/>
    <x v="0"/>
    <n v="4"/>
    <n v="760"/>
    <n v="270000"/>
    <n v="9"/>
    <m/>
    <m/>
  </r>
  <r>
    <x v="0"/>
    <x v="5"/>
    <x v="5"/>
    <x v="5"/>
    <m/>
    <m/>
    <m/>
    <m/>
    <x v="0"/>
    <x v="0"/>
    <m/>
    <n v="725"/>
    <n v="340000"/>
    <n v="11"/>
    <m/>
    <m/>
  </r>
  <r>
    <x v="0"/>
    <x v="6"/>
    <x v="6"/>
    <x v="6"/>
    <m/>
    <m/>
    <m/>
    <m/>
    <x v="0"/>
    <x v="0"/>
    <m/>
    <n v="670"/>
    <m/>
    <n v="8"/>
    <m/>
    <m/>
  </r>
  <r>
    <x v="0"/>
    <x v="7"/>
    <x v="7"/>
    <x v="7"/>
    <m/>
    <m/>
    <m/>
    <m/>
    <x v="0"/>
    <x v="0"/>
    <m/>
    <n v="750"/>
    <n v="330000"/>
    <n v="10"/>
    <m/>
    <m/>
  </r>
  <r>
    <x v="0"/>
    <x v="8"/>
    <x v="8"/>
    <x v="8"/>
    <m/>
    <m/>
    <m/>
    <m/>
    <x v="0"/>
    <x v="0"/>
    <m/>
    <n v="735"/>
    <n v="620000"/>
    <n v="10"/>
    <m/>
    <m/>
  </r>
  <r>
    <x v="0"/>
    <x v="9"/>
    <x v="9"/>
    <x v="9"/>
    <m/>
    <m/>
    <m/>
    <m/>
    <x v="0"/>
    <x v="0"/>
    <n v="2"/>
    <n v="655"/>
    <n v="807000"/>
    <n v="8"/>
    <m/>
    <m/>
  </r>
  <r>
    <x v="0"/>
    <x v="10"/>
    <x v="10"/>
    <x v="10"/>
    <m/>
    <m/>
    <m/>
    <m/>
    <x v="0"/>
    <x v="0"/>
    <m/>
    <n v="620"/>
    <n v="200000"/>
    <n v="6"/>
    <m/>
    <m/>
  </r>
  <r>
    <x v="0"/>
    <x v="11"/>
    <x v="11"/>
    <x v="11"/>
    <m/>
    <m/>
    <m/>
    <m/>
    <x v="0"/>
    <x v="0"/>
    <n v="5"/>
    <n v="670"/>
    <n v="160000"/>
    <n v="10"/>
    <m/>
    <m/>
  </r>
  <r>
    <x v="0"/>
    <x v="12"/>
    <x v="12"/>
    <x v="12"/>
    <m/>
    <m/>
    <m/>
    <m/>
    <x v="0"/>
    <x v="0"/>
    <m/>
    <n v="675"/>
    <n v="100000"/>
    <n v="8"/>
    <m/>
    <m/>
  </r>
  <r>
    <x v="0"/>
    <x v="13"/>
    <x v="13"/>
    <x v="13"/>
    <m/>
    <m/>
    <m/>
    <m/>
    <x v="0"/>
    <x v="0"/>
    <n v="4"/>
    <n v="605"/>
    <n v="410000"/>
    <n v="9"/>
    <m/>
    <m/>
  </r>
  <r>
    <x v="0"/>
    <x v="14"/>
    <x v="14"/>
    <x v="14"/>
    <m/>
    <m/>
    <m/>
    <m/>
    <x v="0"/>
    <x v="0"/>
    <n v="5"/>
    <n v="655"/>
    <n v="580000"/>
    <n v="7"/>
    <m/>
    <n v="2050000"/>
  </r>
  <r>
    <x v="0"/>
    <x v="15"/>
    <x v="15"/>
    <x v="15"/>
    <m/>
    <m/>
    <m/>
    <m/>
    <x v="0"/>
    <x v="0"/>
    <n v="1"/>
    <n v="620"/>
    <n v="80000"/>
    <n v="9"/>
    <m/>
    <m/>
  </r>
  <r>
    <x v="0"/>
    <x v="16"/>
    <x v="16"/>
    <x v="16"/>
    <m/>
    <m/>
    <m/>
    <m/>
    <x v="0"/>
    <x v="0"/>
    <m/>
    <n v="575"/>
    <n v="120000"/>
    <n v="6"/>
    <m/>
    <m/>
  </r>
  <r>
    <x v="0"/>
    <x v="17"/>
    <x v="17"/>
    <x v="17"/>
    <m/>
    <m/>
    <m/>
    <m/>
    <x v="0"/>
    <x v="0"/>
    <m/>
    <n v="560"/>
    <n v="430000"/>
    <n v="8"/>
    <m/>
    <m/>
  </r>
  <r>
    <x v="0"/>
    <x v="18"/>
    <x v="18"/>
    <x v="18"/>
    <m/>
    <m/>
    <m/>
    <m/>
    <x v="0"/>
    <x v="0"/>
    <m/>
    <n v="545"/>
    <n v="420000"/>
    <n v="7"/>
    <m/>
    <m/>
  </r>
  <r>
    <x v="0"/>
    <x v="19"/>
    <x v="10"/>
    <x v="19"/>
    <m/>
    <m/>
    <m/>
    <m/>
    <x v="0"/>
    <x v="0"/>
    <m/>
    <n v="445"/>
    <n v="667000"/>
    <n v="4"/>
    <m/>
    <m/>
  </r>
  <r>
    <x v="0"/>
    <x v="20"/>
    <x v="19"/>
    <x v="20"/>
    <m/>
    <m/>
    <m/>
    <m/>
    <x v="0"/>
    <x v="0"/>
    <m/>
    <n v="430"/>
    <n v="120000"/>
    <n v="8"/>
    <m/>
    <m/>
  </r>
  <r>
    <x v="0"/>
    <x v="21"/>
    <x v="20"/>
    <x v="21"/>
    <m/>
    <m/>
    <m/>
    <m/>
    <x v="0"/>
    <x v="0"/>
    <m/>
    <n v="475"/>
    <n v="480000"/>
    <n v="5"/>
    <m/>
    <m/>
  </r>
  <r>
    <x v="0"/>
    <x v="22"/>
    <x v="21"/>
    <x v="8"/>
    <m/>
    <m/>
    <m/>
    <m/>
    <x v="0"/>
    <x v="0"/>
    <m/>
    <n v="400"/>
    <n v="270000"/>
    <n v="7"/>
    <m/>
    <m/>
  </r>
  <r>
    <x v="0"/>
    <x v="23"/>
    <x v="22"/>
    <x v="22"/>
    <m/>
    <m/>
    <m/>
    <m/>
    <x v="0"/>
    <x v="0"/>
    <m/>
    <n v="395"/>
    <n v="390000"/>
    <n v="5"/>
    <m/>
    <m/>
  </r>
  <r>
    <x v="0"/>
    <x v="24"/>
    <x v="23"/>
    <x v="23"/>
    <m/>
    <m/>
    <m/>
    <m/>
    <x v="0"/>
    <x v="0"/>
    <m/>
    <n v="485"/>
    <n v="410000"/>
    <n v="8"/>
    <m/>
    <m/>
  </r>
  <r>
    <x v="0"/>
    <x v="25"/>
    <x v="24"/>
    <x v="24"/>
    <m/>
    <m/>
    <m/>
    <m/>
    <x v="0"/>
    <x v="0"/>
    <n v="1"/>
    <n v="420"/>
    <n v="340000"/>
    <n v="5"/>
    <m/>
    <m/>
  </r>
  <r>
    <x v="0"/>
    <x v="26"/>
    <x v="25"/>
    <x v="25"/>
    <m/>
    <m/>
    <m/>
    <m/>
    <x v="0"/>
    <x v="0"/>
    <n v="2"/>
    <n v="285"/>
    <n v="310000"/>
    <n v="4"/>
    <m/>
    <m/>
  </r>
  <r>
    <x v="0"/>
    <x v="27"/>
    <x v="26"/>
    <x v="26"/>
    <m/>
    <m/>
    <m/>
    <m/>
    <x v="0"/>
    <x v="0"/>
    <m/>
    <n v="255"/>
    <n v="380000"/>
    <n v="4"/>
    <m/>
    <m/>
  </r>
  <r>
    <x v="0"/>
    <x v="28"/>
    <x v="27"/>
    <x v="27"/>
    <m/>
    <m/>
    <m/>
    <m/>
    <x v="0"/>
    <x v="0"/>
    <n v="10"/>
    <n v="240"/>
    <n v="60000"/>
    <n v="4"/>
    <m/>
    <m/>
  </r>
  <r>
    <x v="0"/>
    <x v="29"/>
    <x v="28"/>
    <x v="28"/>
    <m/>
    <m/>
    <m/>
    <m/>
    <x v="0"/>
    <x v="0"/>
    <m/>
    <n v="270"/>
    <m/>
    <n v="4"/>
    <m/>
    <m/>
  </r>
  <r>
    <x v="0"/>
    <x v="30"/>
    <x v="29"/>
    <x v="29"/>
    <m/>
    <m/>
    <m/>
    <m/>
    <x v="0"/>
    <x v="0"/>
    <m/>
    <n v="215"/>
    <n v="60000"/>
    <n v="3"/>
    <m/>
    <m/>
  </r>
  <r>
    <x v="0"/>
    <x v="31"/>
    <x v="30"/>
    <x v="30"/>
    <m/>
    <m/>
    <m/>
    <m/>
    <x v="0"/>
    <x v="0"/>
    <m/>
    <n v="210"/>
    <m/>
    <n v="3"/>
    <m/>
    <m/>
  </r>
  <r>
    <x v="0"/>
    <x v="32"/>
    <x v="31"/>
    <x v="31"/>
    <m/>
    <m/>
    <m/>
    <m/>
    <x v="0"/>
    <x v="0"/>
    <n v="1"/>
    <n v="205"/>
    <n v="60000"/>
    <n v="3"/>
    <m/>
    <m/>
  </r>
  <r>
    <x v="0"/>
    <x v="33"/>
    <x v="32"/>
    <x v="32"/>
    <m/>
    <m/>
    <m/>
    <m/>
    <x v="0"/>
    <x v="0"/>
    <m/>
    <n v="130"/>
    <n v="167000"/>
    <n v="2"/>
    <m/>
    <m/>
  </r>
  <r>
    <x v="0"/>
    <x v="34"/>
    <x v="33"/>
    <x v="33"/>
    <m/>
    <m/>
    <m/>
    <m/>
    <x v="0"/>
    <x v="0"/>
    <n v="1"/>
    <n v="125"/>
    <n v="60000"/>
    <n v="2"/>
    <m/>
    <m/>
  </r>
  <r>
    <x v="0"/>
    <x v="35"/>
    <x v="34"/>
    <x v="27"/>
    <m/>
    <m/>
    <m/>
    <m/>
    <x v="0"/>
    <x v="0"/>
    <m/>
    <n v="110"/>
    <m/>
    <n v="1"/>
    <m/>
    <m/>
  </r>
  <r>
    <x v="0"/>
    <x v="36"/>
    <x v="35"/>
    <x v="34"/>
    <m/>
    <m/>
    <m/>
    <m/>
    <x v="0"/>
    <x v="0"/>
    <m/>
    <n v="110"/>
    <m/>
    <n v="1"/>
    <m/>
    <m/>
  </r>
  <r>
    <x v="0"/>
    <x v="37"/>
    <x v="36"/>
    <x v="35"/>
    <m/>
    <m/>
    <m/>
    <m/>
    <x v="0"/>
    <x v="0"/>
    <m/>
    <n v="90"/>
    <n v="130000"/>
    <n v="1"/>
    <m/>
    <m/>
  </r>
  <r>
    <x v="0"/>
    <x v="38"/>
    <x v="37"/>
    <x v="36"/>
    <m/>
    <m/>
    <m/>
    <m/>
    <x v="0"/>
    <x v="0"/>
    <m/>
    <n v="80"/>
    <n v="30000"/>
    <n v="1"/>
    <m/>
    <m/>
  </r>
  <r>
    <x v="0"/>
    <x v="39"/>
    <x v="38"/>
    <x v="9"/>
    <m/>
    <m/>
    <m/>
    <m/>
    <x v="0"/>
    <x v="0"/>
    <m/>
    <n v="80"/>
    <n v="130000"/>
    <n v="1"/>
    <m/>
    <m/>
  </r>
  <r>
    <x v="0"/>
    <x v="40"/>
    <x v="39"/>
    <x v="37"/>
    <m/>
    <m/>
    <m/>
    <m/>
    <x v="0"/>
    <x v="0"/>
    <m/>
    <n v="75"/>
    <n v="85000"/>
    <n v="1"/>
    <m/>
    <m/>
  </r>
  <r>
    <x v="0"/>
    <x v="41"/>
    <x v="40"/>
    <x v="38"/>
    <m/>
    <m/>
    <m/>
    <m/>
    <x v="0"/>
    <x v="0"/>
    <m/>
    <n v="75"/>
    <n v="85000"/>
    <n v="1"/>
    <m/>
    <m/>
  </r>
  <r>
    <x v="0"/>
    <x v="42"/>
    <x v="41"/>
    <x v="39"/>
    <m/>
    <m/>
    <m/>
    <m/>
    <x v="0"/>
    <x v="0"/>
    <m/>
    <n v="70"/>
    <m/>
    <n v="1"/>
    <m/>
    <m/>
  </r>
  <r>
    <x v="0"/>
    <x v="43"/>
    <x v="42"/>
    <x v="40"/>
    <m/>
    <m/>
    <m/>
    <m/>
    <x v="0"/>
    <x v="0"/>
    <n v="1"/>
    <n v="70"/>
    <m/>
    <n v="2"/>
    <m/>
    <m/>
  </r>
  <r>
    <x v="0"/>
    <x v="44"/>
    <x v="43"/>
    <x v="41"/>
    <m/>
    <m/>
    <m/>
    <m/>
    <x v="0"/>
    <x v="0"/>
    <m/>
    <n v="65"/>
    <m/>
    <n v="1"/>
    <m/>
    <m/>
  </r>
  <r>
    <x v="0"/>
    <x v="45"/>
    <x v="44"/>
    <x v="42"/>
    <m/>
    <m/>
    <m/>
    <m/>
    <x v="0"/>
    <x v="0"/>
    <m/>
    <n v="65"/>
    <m/>
    <n v="1"/>
    <m/>
    <m/>
  </r>
  <r>
    <x v="0"/>
    <x v="46"/>
    <x v="38"/>
    <x v="32"/>
    <m/>
    <m/>
    <m/>
    <m/>
    <x v="0"/>
    <x v="0"/>
    <m/>
    <n v="60"/>
    <m/>
    <n v="1"/>
    <m/>
    <m/>
  </r>
  <r>
    <x v="0"/>
    <x v="47"/>
    <x v="45"/>
    <x v="43"/>
    <m/>
    <m/>
    <m/>
    <m/>
    <x v="0"/>
    <x v="0"/>
    <n v="1"/>
    <n v="50"/>
    <m/>
    <n v="1"/>
    <m/>
    <m/>
  </r>
  <r>
    <x v="0"/>
    <x v="48"/>
    <x v="46"/>
    <x v="44"/>
    <m/>
    <m/>
    <m/>
    <m/>
    <x v="0"/>
    <x v="0"/>
    <m/>
    <n v="35"/>
    <m/>
    <n v="1"/>
    <m/>
    <m/>
  </r>
  <r>
    <x v="0"/>
    <x v="49"/>
    <x v="47"/>
    <x v="45"/>
    <m/>
    <m/>
    <m/>
    <m/>
    <x v="0"/>
    <x v="0"/>
    <m/>
    <n v="30"/>
    <m/>
    <n v="1"/>
    <m/>
    <m/>
  </r>
  <r>
    <x v="1"/>
    <x v="50"/>
    <x v="48"/>
    <x v="46"/>
    <m/>
    <m/>
    <m/>
    <m/>
    <x v="0"/>
    <x v="0"/>
    <m/>
    <n v="95"/>
    <n v="180000"/>
    <n v="1"/>
    <m/>
    <m/>
  </r>
  <r>
    <x v="2"/>
    <x v="9"/>
    <x v="9"/>
    <x v="9"/>
    <m/>
    <m/>
    <m/>
    <m/>
    <x v="0"/>
    <x v="0"/>
    <m/>
    <n v="95"/>
    <m/>
    <n v="1"/>
    <m/>
    <m/>
  </r>
  <r>
    <x v="2"/>
    <x v="0"/>
    <x v="0"/>
    <x v="0"/>
    <m/>
    <m/>
    <m/>
    <m/>
    <x v="0"/>
    <x v="0"/>
    <m/>
    <n v="65"/>
    <m/>
    <n v="1"/>
    <m/>
    <n v="250000"/>
  </r>
  <r>
    <x v="2"/>
    <x v="14"/>
    <x v="14"/>
    <x v="14"/>
    <m/>
    <m/>
    <m/>
    <m/>
    <x v="0"/>
    <x v="0"/>
    <m/>
    <n v="90"/>
    <m/>
    <n v="1"/>
    <m/>
    <m/>
  </r>
  <r>
    <x v="2"/>
    <x v="11"/>
    <x v="11"/>
    <x v="11"/>
    <m/>
    <m/>
    <m/>
    <m/>
    <x v="0"/>
    <x v="0"/>
    <m/>
    <n v="95"/>
    <m/>
    <n v="1"/>
    <m/>
    <m/>
  </r>
  <r>
    <x v="2"/>
    <x v="20"/>
    <x v="19"/>
    <x v="20"/>
    <m/>
    <m/>
    <m/>
    <m/>
    <x v="0"/>
    <x v="0"/>
    <m/>
    <n v="60"/>
    <m/>
    <n v="1"/>
    <m/>
    <m/>
  </r>
  <r>
    <x v="2"/>
    <x v="8"/>
    <x v="8"/>
    <x v="8"/>
    <m/>
    <m/>
    <m/>
    <m/>
    <x v="0"/>
    <x v="0"/>
    <m/>
    <n v="75"/>
    <m/>
    <n v="1"/>
    <m/>
    <m/>
  </r>
  <r>
    <x v="2"/>
    <x v="29"/>
    <x v="28"/>
    <x v="28"/>
    <m/>
    <m/>
    <m/>
    <m/>
    <x v="0"/>
    <x v="0"/>
    <m/>
    <n v="80"/>
    <m/>
    <n v="1"/>
    <m/>
    <m/>
  </r>
  <r>
    <x v="2"/>
    <x v="2"/>
    <x v="2"/>
    <x v="2"/>
    <m/>
    <m/>
    <m/>
    <m/>
    <x v="0"/>
    <x v="0"/>
    <m/>
    <n v="95"/>
    <m/>
    <n v="1"/>
    <m/>
    <m/>
  </r>
  <r>
    <x v="2"/>
    <x v="24"/>
    <x v="23"/>
    <x v="23"/>
    <m/>
    <m/>
    <m/>
    <m/>
    <x v="0"/>
    <x v="0"/>
    <m/>
    <n v="100"/>
    <m/>
    <n v="1"/>
    <m/>
    <m/>
  </r>
  <r>
    <x v="2"/>
    <x v="7"/>
    <x v="7"/>
    <x v="7"/>
    <m/>
    <m/>
    <m/>
    <m/>
    <x v="0"/>
    <x v="0"/>
    <m/>
    <n v="75"/>
    <m/>
    <n v="1"/>
    <m/>
    <m/>
  </r>
  <r>
    <x v="2"/>
    <x v="28"/>
    <x v="27"/>
    <x v="27"/>
    <m/>
    <m/>
    <m/>
    <m/>
    <x v="0"/>
    <x v="0"/>
    <m/>
    <n v="85"/>
    <m/>
    <n v="1"/>
    <m/>
    <m/>
  </r>
  <r>
    <x v="2"/>
    <x v="22"/>
    <x v="21"/>
    <x v="8"/>
    <m/>
    <m/>
    <m/>
    <m/>
    <x v="0"/>
    <x v="0"/>
    <m/>
    <n v="70"/>
    <m/>
    <n v="1"/>
    <m/>
    <m/>
  </r>
  <r>
    <x v="3"/>
    <x v="9"/>
    <x v="9"/>
    <x v="9"/>
    <m/>
    <m/>
    <m/>
    <m/>
    <x v="0"/>
    <x v="0"/>
    <m/>
    <n v="100"/>
    <n v="160000"/>
    <n v="1"/>
    <m/>
    <m/>
  </r>
  <r>
    <x v="3"/>
    <x v="6"/>
    <x v="6"/>
    <x v="6"/>
    <m/>
    <m/>
    <m/>
    <m/>
    <x v="0"/>
    <x v="0"/>
    <m/>
    <n v="100"/>
    <n v="160000"/>
    <n v="1"/>
    <m/>
    <m/>
  </r>
  <r>
    <x v="3"/>
    <x v="4"/>
    <x v="4"/>
    <x v="4"/>
    <m/>
    <m/>
    <m/>
    <m/>
    <x v="0"/>
    <x v="0"/>
    <m/>
    <n v="95"/>
    <n v="110000"/>
    <n v="1"/>
    <m/>
    <m/>
  </r>
  <r>
    <x v="3"/>
    <x v="20"/>
    <x v="19"/>
    <x v="20"/>
    <m/>
    <m/>
    <m/>
    <m/>
    <x v="0"/>
    <x v="0"/>
    <m/>
    <n v="50"/>
    <m/>
    <n v="1"/>
    <m/>
    <m/>
  </r>
  <r>
    <x v="3"/>
    <x v="3"/>
    <x v="3"/>
    <x v="3"/>
    <m/>
    <m/>
    <m/>
    <m/>
    <x v="0"/>
    <x v="0"/>
    <m/>
    <n v="70"/>
    <m/>
    <n v="1"/>
    <m/>
    <m/>
  </r>
  <r>
    <x v="3"/>
    <x v="25"/>
    <x v="24"/>
    <x v="24"/>
    <m/>
    <m/>
    <m/>
    <m/>
    <x v="0"/>
    <x v="0"/>
    <m/>
    <n v="65"/>
    <m/>
    <n v="1"/>
    <m/>
    <m/>
  </r>
  <r>
    <x v="3"/>
    <x v="5"/>
    <x v="5"/>
    <x v="5"/>
    <m/>
    <m/>
    <m/>
    <m/>
    <x v="0"/>
    <x v="0"/>
    <n v="5"/>
    <n v="60"/>
    <m/>
    <n v="1"/>
    <m/>
    <m/>
  </r>
  <r>
    <x v="3"/>
    <x v="17"/>
    <x v="17"/>
    <x v="17"/>
    <m/>
    <m/>
    <m/>
    <m/>
    <x v="0"/>
    <x v="0"/>
    <m/>
    <n v="50"/>
    <m/>
    <n v="1"/>
    <m/>
    <m/>
  </r>
  <r>
    <x v="3"/>
    <x v="11"/>
    <x v="11"/>
    <x v="11"/>
    <m/>
    <m/>
    <m/>
    <m/>
    <x v="0"/>
    <x v="0"/>
    <m/>
    <n v="80"/>
    <m/>
    <n v="1"/>
    <m/>
    <m/>
  </r>
  <r>
    <x v="3"/>
    <x v="16"/>
    <x v="16"/>
    <x v="16"/>
    <m/>
    <m/>
    <m/>
    <m/>
    <x v="0"/>
    <x v="0"/>
    <m/>
    <n v="50"/>
    <m/>
    <n v="1"/>
    <m/>
    <m/>
  </r>
  <r>
    <x v="3"/>
    <x v="27"/>
    <x v="26"/>
    <x v="26"/>
    <m/>
    <m/>
    <m/>
    <m/>
    <x v="0"/>
    <x v="0"/>
    <m/>
    <n v="80"/>
    <m/>
    <n v="1"/>
    <m/>
    <m/>
  </r>
  <r>
    <x v="3"/>
    <x v="33"/>
    <x v="32"/>
    <x v="32"/>
    <m/>
    <m/>
    <m/>
    <m/>
    <x v="0"/>
    <x v="0"/>
    <m/>
    <n v="75"/>
    <m/>
    <n v="1"/>
    <m/>
    <m/>
  </r>
  <r>
    <x v="3"/>
    <x v="10"/>
    <x v="10"/>
    <x v="10"/>
    <m/>
    <m/>
    <m/>
    <m/>
    <x v="0"/>
    <x v="0"/>
    <n v="1"/>
    <n v="90"/>
    <m/>
    <n v="1"/>
    <m/>
    <m/>
  </r>
  <r>
    <x v="3"/>
    <x v="30"/>
    <x v="29"/>
    <x v="29"/>
    <m/>
    <m/>
    <m/>
    <m/>
    <x v="0"/>
    <x v="0"/>
    <m/>
    <n v="80"/>
    <m/>
    <n v="1"/>
    <m/>
    <m/>
  </r>
  <r>
    <x v="3"/>
    <x v="43"/>
    <x v="42"/>
    <x v="40"/>
    <m/>
    <m/>
    <m/>
    <m/>
    <x v="0"/>
    <x v="1"/>
    <m/>
    <n v="100"/>
    <n v="160000"/>
    <n v="1"/>
    <m/>
    <m/>
  </r>
  <r>
    <x v="3"/>
    <x v="0"/>
    <x v="0"/>
    <x v="0"/>
    <m/>
    <m/>
    <m/>
    <m/>
    <x v="0"/>
    <x v="0"/>
    <m/>
    <n v="50"/>
    <m/>
    <n v="1"/>
    <m/>
    <n v="180000"/>
  </r>
  <r>
    <x v="3"/>
    <x v="24"/>
    <x v="23"/>
    <x v="23"/>
    <m/>
    <m/>
    <m/>
    <m/>
    <x v="0"/>
    <x v="0"/>
    <m/>
    <n v="70"/>
    <m/>
    <n v="1"/>
    <m/>
    <m/>
  </r>
  <r>
    <x v="3"/>
    <x v="23"/>
    <x v="22"/>
    <x v="22"/>
    <m/>
    <m/>
    <m/>
    <m/>
    <x v="0"/>
    <x v="0"/>
    <n v="1"/>
    <n v="95"/>
    <n v="110000"/>
    <n v="1"/>
    <m/>
    <m/>
  </r>
  <r>
    <x v="3"/>
    <x v="29"/>
    <x v="28"/>
    <x v="28"/>
    <m/>
    <m/>
    <m/>
    <m/>
    <x v="0"/>
    <x v="0"/>
    <m/>
    <n v="85"/>
    <m/>
    <n v="1"/>
    <m/>
    <m/>
  </r>
  <r>
    <x v="3"/>
    <x v="1"/>
    <x v="1"/>
    <x v="1"/>
    <m/>
    <m/>
    <m/>
    <m/>
    <x v="0"/>
    <x v="0"/>
    <m/>
    <n v="90"/>
    <m/>
    <n v="1"/>
    <m/>
    <m/>
  </r>
  <r>
    <x v="4"/>
    <x v="7"/>
    <x v="7"/>
    <x v="7"/>
    <m/>
    <m/>
    <n v="10"/>
    <m/>
    <x v="0"/>
    <x v="2"/>
    <m/>
    <n v="70"/>
    <m/>
    <n v="1"/>
    <m/>
    <m/>
  </r>
  <r>
    <x v="4"/>
    <x v="9"/>
    <x v="9"/>
    <x v="9"/>
    <m/>
    <m/>
    <n v="12"/>
    <m/>
    <x v="0"/>
    <x v="3"/>
    <m/>
    <n v="90"/>
    <n v="140000"/>
    <n v="1"/>
    <m/>
    <m/>
  </r>
  <r>
    <x v="4"/>
    <x v="4"/>
    <x v="4"/>
    <x v="4"/>
    <m/>
    <m/>
    <n v="12"/>
    <m/>
    <x v="0"/>
    <x v="4"/>
    <m/>
    <n v="85"/>
    <n v="120000"/>
    <n v="1"/>
    <m/>
    <m/>
  </r>
  <r>
    <x v="4"/>
    <x v="18"/>
    <x v="18"/>
    <x v="18"/>
    <m/>
    <m/>
    <n v="12"/>
    <m/>
    <x v="0"/>
    <x v="5"/>
    <m/>
    <n v="80"/>
    <n v="100000"/>
    <n v="1"/>
    <m/>
    <m/>
  </r>
  <r>
    <x v="4"/>
    <x v="11"/>
    <x v="11"/>
    <x v="11"/>
    <m/>
    <m/>
    <n v="15"/>
    <m/>
    <x v="0"/>
    <x v="6"/>
    <m/>
    <n v="65"/>
    <m/>
    <n v="1"/>
    <m/>
    <m/>
  </r>
  <r>
    <x v="4"/>
    <x v="22"/>
    <x v="21"/>
    <x v="8"/>
    <m/>
    <m/>
    <n v="18"/>
    <m/>
    <x v="0"/>
    <x v="7"/>
    <m/>
    <n v="45"/>
    <m/>
    <n v="1"/>
    <m/>
    <m/>
  </r>
  <r>
    <x v="4"/>
    <x v="29"/>
    <x v="28"/>
    <x v="28"/>
    <m/>
    <m/>
    <n v="18"/>
    <m/>
    <x v="0"/>
    <x v="8"/>
    <m/>
    <n v="50"/>
    <m/>
    <n v="1"/>
    <m/>
    <m/>
  </r>
  <r>
    <x v="4"/>
    <x v="16"/>
    <x v="16"/>
    <x v="16"/>
    <m/>
    <m/>
    <n v="19"/>
    <m/>
    <x v="0"/>
    <x v="9"/>
    <m/>
    <n v="100"/>
    <n v="200000"/>
    <n v="1"/>
    <m/>
    <m/>
  </r>
  <r>
    <x v="4"/>
    <x v="21"/>
    <x v="20"/>
    <x v="21"/>
    <m/>
    <m/>
    <n v="20"/>
    <m/>
    <x v="0"/>
    <x v="6"/>
    <n v="1"/>
    <n v="65"/>
    <m/>
    <n v="1"/>
    <m/>
    <m/>
  </r>
  <r>
    <x v="4"/>
    <x v="6"/>
    <x v="6"/>
    <x v="6"/>
    <m/>
    <m/>
    <n v="21"/>
    <m/>
    <x v="0"/>
    <x v="10"/>
    <m/>
    <n v="55"/>
    <m/>
    <n v="1"/>
    <m/>
    <m/>
  </r>
  <r>
    <x v="4"/>
    <x v="27"/>
    <x v="26"/>
    <x v="26"/>
    <m/>
    <m/>
    <n v="24"/>
    <m/>
    <x v="0"/>
    <x v="6"/>
    <m/>
    <n v="65"/>
    <m/>
    <n v="1"/>
    <m/>
    <m/>
  </r>
  <r>
    <x v="4"/>
    <x v="22"/>
    <x v="21"/>
    <x v="8"/>
    <m/>
    <m/>
    <n v="24"/>
    <m/>
    <x v="0"/>
    <x v="11"/>
    <m/>
    <n v="75"/>
    <m/>
    <n v="1"/>
    <m/>
    <m/>
  </r>
  <r>
    <x v="4"/>
    <x v="2"/>
    <x v="2"/>
    <x v="2"/>
    <m/>
    <m/>
    <n v="12"/>
    <m/>
    <x v="0"/>
    <x v="6"/>
    <n v="1"/>
    <n v="65"/>
    <m/>
    <n v="1"/>
    <m/>
    <m/>
  </r>
  <r>
    <x v="4"/>
    <x v="10"/>
    <x v="10"/>
    <x v="10"/>
    <m/>
    <m/>
    <n v="13"/>
    <m/>
    <x v="0"/>
    <x v="12"/>
    <m/>
    <n v="60"/>
    <m/>
    <n v="1"/>
    <m/>
    <m/>
  </r>
  <r>
    <x v="4"/>
    <x v="0"/>
    <x v="0"/>
    <x v="0"/>
    <m/>
    <m/>
    <n v="14"/>
    <m/>
    <x v="0"/>
    <x v="7"/>
    <m/>
    <n v="45"/>
    <m/>
    <n v="1"/>
    <m/>
    <n v="100000"/>
  </r>
  <r>
    <x v="4"/>
    <x v="3"/>
    <x v="3"/>
    <x v="3"/>
    <m/>
    <m/>
    <n v="16"/>
    <m/>
    <x v="0"/>
    <x v="8"/>
    <m/>
    <n v="50"/>
    <m/>
    <n v="1"/>
    <m/>
    <m/>
  </r>
  <r>
    <x v="4"/>
    <x v="1"/>
    <x v="1"/>
    <x v="1"/>
    <m/>
    <m/>
    <n v="24"/>
    <m/>
    <x v="0"/>
    <x v="10"/>
    <m/>
    <n v="55"/>
    <m/>
    <n v="1"/>
    <m/>
    <m/>
  </r>
  <r>
    <x v="4"/>
    <x v="5"/>
    <x v="5"/>
    <x v="5"/>
    <m/>
    <m/>
    <n v="24"/>
    <m/>
    <x v="0"/>
    <x v="6"/>
    <m/>
    <n v="65"/>
    <m/>
    <n v="1"/>
    <m/>
    <m/>
  </r>
  <r>
    <x v="4"/>
    <x v="15"/>
    <x v="15"/>
    <x v="15"/>
    <m/>
    <m/>
    <n v="27"/>
    <m/>
    <x v="0"/>
    <x v="10"/>
    <m/>
    <n v="55"/>
    <m/>
    <n v="1"/>
    <m/>
    <m/>
  </r>
  <r>
    <x v="4"/>
    <x v="17"/>
    <x v="17"/>
    <x v="17"/>
    <m/>
    <m/>
    <n v="29"/>
    <m/>
    <x v="0"/>
    <x v="13"/>
    <m/>
    <n v="95"/>
    <n v="180000"/>
    <n v="1"/>
    <m/>
    <m/>
  </r>
  <r>
    <x v="5"/>
    <x v="3"/>
    <x v="3"/>
    <x v="3"/>
    <n v="14.9"/>
    <s v="Azul"/>
    <n v="16"/>
    <m/>
    <x v="1"/>
    <x v="10"/>
    <m/>
    <n v="65"/>
    <m/>
    <n v="1"/>
    <m/>
    <m/>
  </r>
  <r>
    <x v="5"/>
    <x v="0"/>
    <x v="0"/>
    <x v="0"/>
    <n v="13.8"/>
    <s v="Azul"/>
    <n v="15"/>
    <m/>
    <x v="2"/>
    <x v="14"/>
    <n v="1"/>
    <n v="55"/>
    <m/>
    <n v="1"/>
    <m/>
    <m/>
  </r>
  <r>
    <x v="5"/>
    <x v="22"/>
    <x v="21"/>
    <x v="8"/>
    <n v="17.600000000000001"/>
    <s v="Blanca"/>
    <n v="18"/>
    <m/>
    <x v="3"/>
    <x v="1"/>
    <m/>
    <n v="100"/>
    <n v="200000"/>
    <n v="1"/>
    <m/>
    <m/>
  </r>
  <r>
    <x v="5"/>
    <x v="10"/>
    <x v="10"/>
    <x v="10"/>
    <n v="13"/>
    <s v="Azul"/>
    <n v="14"/>
    <m/>
    <x v="4"/>
    <x v="10"/>
    <m/>
    <n v="65"/>
    <m/>
    <n v="1"/>
    <m/>
    <n v="140000"/>
  </r>
  <r>
    <x v="5"/>
    <x v="6"/>
    <x v="6"/>
    <x v="6"/>
    <n v="22.3"/>
    <s v="Blanca"/>
    <n v="20"/>
    <m/>
    <x v="1"/>
    <x v="2"/>
    <m/>
    <n v="80"/>
    <m/>
    <n v="1"/>
    <m/>
    <m/>
  </r>
  <r>
    <x v="5"/>
    <x v="1"/>
    <x v="1"/>
    <x v="1"/>
    <n v="22.7"/>
    <s v="Blanca"/>
    <n v="24"/>
    <m/>
    <x v="5"/>
    <x v="11"/>
    <n v="1"/>
    <n v="85"/>
    <n v="50000"/>
    <n v="1"/>
    <m/>
    <m/>
  </r>
  <r>
    <x v="5"/>
    <x v="11"/>
    <x v="11"/>
    <x v="11"/>
    <n v="15.6"/>
    <s v="Blanca"/>
    <n v="15"/>
    <m/>
    <x v="6"/>
    <x v="15"/>
    <m/>
    <n v="75"/>
    <m/>
    <n v="1"/>
    <m/>
    <m/>
  </r>
  <r>
    <x v="5"/>
    <x v="15"/>
    <x v="15"/>
    <x v="15"/>
    <n v="26"/>
    <s v="Blanca"/>
    <n v="28"/>
    <m/>
    <x v="7"/>
    <x v="16"/>
    <n v="1"/>
    <n v="60"/>
    <m/>
    <n v="1"/>
    <m/>
    <m/>
  </r>
  <r>
    <x v="5"/>
    <x v="23"/>
    <x v="22"/>
    <x v="22"/>
    <n v="13.3"/>
    <s v="Azul"/>
    <n v="14"/>
    <m/>
    <x v="5"/>
    <x v="14"/>
    <n v="1"/>
    <n v="55"/>
    <m/>
    <n v="1"/>
    <m/>
    <m/>
  </r>
  <r>
    <x v="5"/>
    <x v="4"/>
    <x v="4"/>
    <x v="4"/>
    <n v="11.4"/>
    <s v="Azul"/>
    <n v="12"/>
    <m/>
    <x v="8"/>
    <x v="5"/>
    <m/>
    <n v="90"/>
    <n v="120000"/>
    <n v="1"/>
    <m/>
    <m/>
  </r>
  <r>
    <x v="5"/>
    <x v="16"/>
    <x v="16"/>
    <x v="16"/>
    <n v="21.6"/>
    <s v="Blanca"/>
    <n v="18"/>
    <m/>
    <x v="9"/>
    <x v="17"/>
    <m/>
    <n v="50"/>
    <m/>
    <n v="1"/>
    <m/>
    <m/>
  </r>
  <r>
    <x v="5"/>
    <x v="19"/>
    <x v="10"/>
    <x v="19"/>
    <n v="9.8000000000000007"/>
    <s v="Azul"/>
    <n v="10"/>
    <m/>
    <x v="10"/>
    <x v="12"/>
    <m/>
    <n v="70"/>
    <m/>
    <n v="1"/>
    <m/>
    <m/>
  </r>
  <r>
    <x v="5"/>
    <x v="7"/>
    <x v="7"/>
    <x v="7"/>
    <n v="9"/>
    <s v="Azul"/>
    <n v="10"/>
    <m/>
    <x v="11"/>
    <x v="16"/>
    <m/>
    <n v="60"/>
    <m/>
    <n v="1"/>
    <m/>
    <m/>
  </r>
  <r>
    <x v="5"/>
    <x v="5"/>
    <x v="5"/>
    <x v="5"/>
    <n v="23.3"/>
    <s v="Blanca"/>
    <n v="24"/>
    <m/>
    <x v="12"/>
    <x v="18"/>
    <m/>
    <n v="45"/>
    <m/>
    <n v="1"/>
    <m/>
    <m/>
  </r>
  <r>
    <x v="5"/>
    <x v="51"/>
    <x v="49"/>
    <x v="47"/>
    <n v="29.8"/>
    <s v="Blanca"/>
    <n v="32"/>
    <m/>
    <x v="13"/>
    <x v="4"/>
    <m/>
    <n v="95"/>
    <n v="140000"/>
    <n v="1"/>
    <m/>
    <m/>
  </r>
  <r>
    <x v="5"/>
    <x v="18"/>
    <x v="18"/>
    <x v="18"/>
    <n v="12.1"/>
    <s v="Azul"/>
    <n v="12"/>
    <m/>
    <x v="14"/>
    <x v="11"/>
    <n v="1"/>
    <n v="85"/>
    <n v="50000"/>
    <n v="1"/>
    <m/>
    <m/>
  </r>
  <r>
    <x v="5"/>
    <x v="21"/>
    <x v="20"/>
    <x v="21"/>
    <n v="20.7"/>
    <s v="Blanca"/>
    <n v="20"/>
    <m/>
    <x v="15"/>
    <x v="1"/>
    <m/>
    <n v="100"/>
    <n v="200000"/>
    <n v="1"/>
    <m/>
    <m/>
  </r>
  <r>
    <x v="5"/>
    <x v="17"/>
    <x v="17"/>
    <x v="17"/>
    <n v="27.1"/>
    <s v="Blanca"/>
    <n v="28"/>
    <m/>
    <x v="7"/>
    <x v="16"/>
    <m/>
    <n v="60"/>
    <m/>
    <n v="1"/>
    <m/>
    <m/>
  </r>
  <r>
    <x v="5"/>
    <x v="27"/>
    <x v="26"/>
    <x v="26"/>
    <n v="23.6"/>
    <s v="Blanca"/>
    <n v="24"/>
    <m/>
    <x v="2"/>
    <x v="2"/>
    <m/>
    <n v="80"/>
    <m/>
    <n v="1"/>
    <m/>
    <m/>
  </r>
  <r>
    <x v="5"/>
    <x v="20"/>
    <x v="19"/>
    <x v="20"/>
    <n v="18"/>
    <s v="Blanca"/>
    <n v="18"/>
    <m/>
    <x v="9"/>
    <x v="17"/>
    <m/>
    <n v="50"/>
    <m/>
    <n v="1"/>
    <m/>
    <m/>
  </r>
  <r>
    <x v="6"/>
    <x v="3"/>
    <x v="3"/>
    <x v="3"/>
    <n v="15.1"/>
    <s v="Azules - 5924"/>
    <n v="16"/>
    <m/>
    <x v="10"/>
    <x v="19"/>
    <m/>
    <n v="75"/>
    <m/>
    <n v="1"/>
    <m/>
    <m/>
  </r>
  <r>
    <x v="6"/>
    <x v="22"/>
    <x v="21"/>
    <x v="8"/>
    <n v="17.899999999999999"/>
    <s v="Azules - 5924"/>
    <n v="20"/>
    <m/>
    <x v="16"/>
    <x v="12"/>
    <m/>
    <n v="50"/>
    <m/>
    <n v="1"/>
    <m/>
    <m/>
  </r>
  <r>
    <x v="6"/>
    <x v="16"/>
    <x v="16"/>
    <x v="16"/>
    <n v="18.7"/>
    <s v="Blancas - 5710"/>
    <n v="18"/>
    <m/>
    <x v="17"/>
    <x v="5"/>
    <m/>
    <n v="70"/>
    <m/>
    <n v="1"/>
    <m/>
    <m/>
  </r>
  <r>
    <x v="6"/>
    <x v="7"/>
    <x v="7"/>
    <x v="7"/>
    <n v="10.1"/>
    <s v="Azules - 5924"/>
    <n v="10"/>
    <m/>
    <x v="11"/>
    <x v="16"/>
    <m/>
    <n v="45"/>
    <m/>
    <n v="1"/>
    <m/>
    <m/>
  </r>
  <r>
    <x v="6"/>
    <x v="11"/>
    <x v="11"/>
    <x v="11"/>
    <n v="15.7"/>
    <s v="Azules - 5924"/>
    <n v="17"/>
    <m/>
    <x v="18"/>
    <x v="13"/>
    <m/>
    <n v="90"/>
    <n v="140000"/>
    <n v="1"/>
    <m/>
    <m/>
  </r>
  <r>
    <x v="6"/>
    <x v="0"/>
    <x v="0"/>
    <x v="0"/>
    <n v="15.2"/>
    <s v="Azules - 5924"/>
    <n v="16"/>
    <m/>
    <x v="19"/>
    <x v="17"/>
    <n v="1"/>
    <n v="30"/>
    <m/>
    <n v="1"/>
    <m/>
    <n v="180000"/>
  </r>
  <r>
    <x v="6"/>
    <x v="9"/>
    <x v="9"/>
    <x v="9"/>
    <n v="10.9"/>
    <s v="Azules - 5924"/>
    <n v="11"/>
    <m/>
    <x v="20"/>
    <x v="20"/>
    <m/>
    <n v="95"/>
    <n v="180000"/>
    <n v="1"/>
    <m/>
    <m/>
  </r>
  <r>
    <x v="6"/>
    <x v="1"/>
    <x v="1"/>
    <x v="1"/>
    <n v="23.3"/>
    <s v="Blancas - 5710"/>
    <n v="24"/>
    <m/>
    <x v="5"/>
    <x v="11"/>
    <n v="1"/>
    <n v="65"/>
    <m/>
    <n v="1"/>
    <m/>
    <m/>
  </r>
  <r>
    <x v="6"/>
    <x v="18"/>
    <x v="18"/>
    <x v="18"/>
    <n v="11.8"/>
    <s v="Azules - 5924"/>
    <n v="12"/>
    <m/>
    <x v="10"/>
    <x v="6"/>
    <n v="1"/>
    <n v="55"/>
    <m/>
    <n v="1"/>
    <m/>
    <m/>
  </r>
  <r>
    <x v="6"/>
    <x v="17"/>
    <x v="17"/>
    <x v="17"/>
    <n v="27.2"/>
    <s v="Blancas - 5710"/>
    <n v="28"/>
    <m/>
    <x v="21"/>
    <x v="7"/>
    <m/>
    <n v="35"/>
    <m/>
    <n v="1"/>
    <m/>
    <m/>
  </r>
  <r>
    <x v="6"/>
    <x v="8"/>
    <x v="8"/>
    <x v="8"/>
    <n v="23.3"/>
    <s v="Blancas - 5710"/>
    <n v="24"/>
    <m/>
    <x v="22"/>
    <x v="12"/>
    <m/>
    <n v="50"/>
    <m/>
    <n v="1"/>
    <m/>
    <m/>
  </r>
  <r>
    <x v="6"/>
    <x v="20"/>
    <x v="19"/>
    <x v="20"/>
    <n v="18"/>
    <s v="Blancas - 5710"/>
    <n v="18"/>
    <m/>
    <x v="6"/>
    <x v="11"/>
    <m/>
    <n v="65"/>
    <m/>
    <n v="1"/>
    <m/>
    <m/>
  </r>
  <r>
    <x v="6"/>
    <x v="14"/>
    <x v="14"/>
    <x v="14"/>
    <n v="16.7"/>
    <s v="Azules - 5924"/>
    <n v="18"/>
    <m/>
    <x v="15"/>
    <x v="4"/>
    <m/>
    <n v="80"/>
    <n v="80000"/>
    <n v="1"/>
    <m/>
    <m/>
  </r>
  <r>
    <x v="6"/>
    <x v="2"/>
    <x v="2"/>
    <x v="2"/>
    <n v="11.6"/>
    <s v="Azules - 5924"/>
    <n v="12"/>
    <m/>
    <x v="10"/>
    <x v="6"/>
    <m/>
    <n v="55"/>
    <m/>
    <n v="1"/>
    <m/>
    <m/>
  </r>
  <r>
    <x v="6"/>
    <x v="4"/>
    <x v="4"/>
    <x v="4"/>
    <n v="11.4"/>
    <s v="Azules - 5924"/>
    <n v="12"/>
    <m/>
    <x v="23"/>
    <x v="1"/>
    <n v="1"/>
    <n v="85"/>
    <n v="100000"/>
    <n v="1"/>
    <m/>
    <m/>
  </r>
  <r>
    <x v="6"/>
    <x v="21"/>
    <x v="20"/>
    <x v="21"/>
    <n v="19.5"/>
    <s v="Blancas - 5710"/>
    <n v="19"/>
    <m/>
    <x v="24"/>
    <x v="17"/>
    <m/>
    <n v="30"/>
    <m/>
    <n v="1"/>
    <m/>
    <m/>
  </r>
  <r>
    <x v="6"/>
    <x v="27"/>
    <x v="26"/>
    <x v="26"/>
    <n v="23.6"/>
    <s v="Blancas - 5710"/>
    <n v="24"/>
    <m/>
    <x v="25"/>
    <x v="8"/>
    <m/>
    <n v="40"/>
    <m/>
    <n v="1"/>
    <m/>
    <m/>
  </r>
  <r>
    <x v="6"/>
    <x v="24"/>
    <x v="23"/>
    <x v="23"/>
    <n v="9.1999999999999993"/>
    <s v="Azules - 5924"/>
    <n v="9"/>
    <m/>
    <x v="8"/>
    <x v="6"/>
    <m/>
    <n v="55"/>
    <m/>
    <n v="1"/>
    <m/>
    <m/>
  </r>
  <r>
    <x v="6"/>
    <x v="28"/>
    <x v="27"/>
    <x v="27"/>
    <n v="14.1"/>
    <s v="Azules - 5924"/>
    <n v="15"/>
    <m/>
    <x v="11"/>
    <x v="2"/>
    <n v="1"/>
    <n v="60"/>
    <m/>
    <n v="1"/>
    <m/>
    <m/>
  </r>
  <r>
    <x v="6"/>
    <x v="10"/>
    <x v="10"/>
    <x v="10"/>
    <n v="13.3"/>
    <s v="Azules - 5924"/>
    <n v="14"/>
    <m/>
    <x v="26"/>
    <x v="21"/>
    <n v="1"/>
    <n v="100"/>
    <n v="220000"/>
    <n v="1"/>
    <m/>
    <m/>
  </r>
  <r>
    <x v="7"/>
    <x v="9"/>
    <x v="9"/>
    <x v="9"/>
    <n v="10.4"/>
    <s v="Azules - 5924"/>
    <n v="10"/>
    <m/>
    <x v="27"/>
    <x v="19"/>
    <m/>
    <n v="90"/>
    <n v="50000"/>
    <n v="1"/>
    <m/>
    <m/>
  </r>
  <r>
    <x v="7"/>
    <x v="10"/>
    <x v="10"/>
    <x v="10"/>
    <n v="12.8"/>
    <s v="Azules - 5924"/>
    <n v="13"/>
    <m/>
    <x v="4"/>
    <x v="16"/>
    <m/>
    <n v="55"/>
    <m/>
    <n v="1"/>
    <m/>
    <m/>
  </r>
  <r>
    <x v="7"/>
    <x v="1"/>
    <x v="1"/>
    <x v="1"/>
    <n v="23.1"/>
    <s v="Blancas - 5710"/>
    <n v="23"/>
    <m/>
    <x v="5"/>
    <x v="2"/>
    <m/>
    <n v="80"/>
    <m/>
    <n v="1"/>
    <m/>
    <m/>
  </r>
  <r>
    <x v="7"/>
    <x v="16"/>
    <x v="16"/>
    <x v="16"/>
    <n v="18.7"/>
    <s v="Blancas - 5710"/>
    <n v="18"/>
    <m/>
    <x v="6"/>
    <x v="11"/>
    <m/>
    <n v="85"/>
    <m/>
    <n v="1"/>
    <m/>
    <m/>
  </r>
  <r>
    <x v="7"/>
    <x v="6"/>
    <x v="6"/>
    <x v="6"/>
    <n v="22.3"/>
    <s v="Blanca"/>
    <n v="20"/>
    <m/>
    <x v="28"/>
    <x v="15"/>
    <m/>
    <n v="70"/>
    <m/>
    <n v="1"/>
    <m/>
    <m/>
  </r>
  <r>
    <x v="7"/>
    <x v="4"/>
    <x v="4"/>
    <x v="4"/>
    <n v="11.4"/>
    <s v="Azules - 5924"/>
    <n v="12"/>
    <m/>
    <x v="23"/>
    <x v="1"/>
    <n v="1"/>
    <n v="100"/>
    <n v="160000"/>
    <n v="1"/>
    <m/>
    <m/>
  </r>
  <r>
    <x v="7"/>
    <x v="22"/>
    <x v="21"/>
    <x v="8"/>
    <n v="17.899999999999999"/>
    <s v="Blancas - 5710"/>
    <n v="18"/>
    <m/>
    <x v="29"/>
    <x v="6"/>
    <m/>
    <n v="75"/>
    <m/>
    <n v="1"/>
    <m/>
    <m/>
  </r>
  <r>
    <x v="7"/>
    <x v="0"/>
    <x v="0"/>
    <x v="0"/>
    <n v="16.600000000000001"/>
    <s v="Azules - 5924"/>
    <n v="18"/>
    <m/>
    <x v="16"/>
    <x v="12"/>
    <n v="1"/>
    <n v="65"/>
    <m/>
    <n v="1"/>
    <m/>
    <n v="140000"/>
  </r>
  <r>
    <x v="7"/>
    <x v="15"/>
    <x v="15"/>
    <x v="15"/>
    <n v="26"/>
    <s v="Blanca"/>
    <n v="28"/>
    <m/>
    <x v="19"/>
    <x v="6"/>
    <m/>
    <n v="75"/>
    <m/>
    <n v="1"/>
    <m/>
    <m/>
  </r>
  <r>
    <x v="7"/>
    <x v="2"/>
    <x v="2"/>
    <x v="2"/>
    <n v="11.6"/>
    <s v="Azules - 5924"/>
    <n v="12"/>
    <m/>
    <x v="30"/>
    <x v="19"/>
    <m/>
    <n v="90"/>
    <n v="50000"/>
    <n v="1"/>
    <m/>
    <m/>
  </r>
  <r>
    <x v="7"/>
    <x v="23"/>
    <x v="22"/>
    <x v="22"/>
    <n v="13.3"/>
    <s v="Azul"/>
    <n v="14"/>
    <m/>
    <x v="4"/>
    <x v="10"/>
    <m/>
    <n v="60"/>
    <m/>
    <n v="1"/>
    <m/>
    <m/>
  </r>
  <r>
    <x v="7"/>
    <x v="14"/>
    <x v="14"/>
    <x v="14"/>
    <n v="16.7"/>
    <s v="Azules - 5924"/>
    <n v="18"/>
    <m/>
    <x v="10"/>
    <x v="3"/>
    <m/>
    <n v="95"/>
    <n v="140000"/>
    <n v="1"/>
    <m/>
    <m/>
  </r>
  <r>
    <x v="8"/>
    <x v="22"/>
    <x v="21"/>
    <x v="8"/>
    <s v="18,6"/>
    <s v="Blancas - 5710"/>
    <s v="18"/>
    <m/>
    <x v="16"/>
    <x v="12"/>
    <m/>
    <n v="70"/>
    <m/>
    <n v="1"/>
    <m/>
    <m/>
  </r>
  <r>
    <x v="8"/>
    <x v="10"/>
    <x v="10"/>
    <x v="10"/>
    <s v="12,8"/>
    <s v="Azules - 5924"/>
    <s v="13"/>
    <m/>
    <x v="27"/>
    <x v="1"/>
    <n v="1"/>
    <n v="95"/>
    <n v="170000"/>
    <n v="1"/>
    <m/>
    <n v="170000"/>
  </r>
  <r>
    <x v="8"/>
    <x v="0"/>
    <x v="0"/>
    <x v="0"/>
    <s v="17,3"/>
    <s v="Azules - 5924"/>
    <s v="19"/>
    <m/>
    <x v="1"/>
    <x v="6"/>
    <n v="1"/>
    <n v="80"/>
    <m/>
    <n v="1"/>
    <m/>
    <m/>
  </r>
  <r>
    <x v="8"/>
    <x v="1"/>
    <x v="1"/>
    <x v="1"/>
    <s v="23,1"/>
    <s v="Blancas - 5710"/>
    <s v="23"/>
    <m/>
    <x v="31"/>
    <x v="22"/>
    <n v="1"/>
    <n v="40"/>
    <m/>
    <n v="1"/>
    <m/>
    <m/>
  </r>
  <r>
    <x v="8"/>
    <x v="11"/>
    <x v="11"/>
    <x v="11"/>
    <n v="16.100000000000001"/>
    <s v="Blancas - 5710"/>
    <n v="16"/>
    <m/>
    <x v="28"/>
    <x v="8"/>
    <m/>
    <n v="55"/>
    <m/>
    <n v="1"/>
    <m/>
    <m/>
  </r>
  <r>
    <x v="8"/>
    <x v="4"/>
    <x v="4"/>
    <x v="4"/>
    <s v="11,5"/>
    <s v="Azules - 5924"/>
    <s v="12"/>
    <m/>
    <x v="32"/>
    <x v="13"/>
    <n v="1"/>
    <n v="100"/>
    <n v="190000"/>
    <n v="1"/>
    <m/>
    <m/>
  </r>
  <r>
    <x v="8"/>
    <x v="16"/>
    <x v="16"/>
    <x v="16"/>
    <s v="18,8"/>
    <s v="Blancas - 5710"/>
    <s v="19"/>
    <m/>
    <x v="29"/>
    <x v="2"/>
    <m/>
    <n v="85"/>
    <n v="35000"/>
    <n v="1"/>
    <m/>
    <m/>
  </r>
  <r>
    <x v="8"/>
    <x v="15"/>
    <x v="15"/>
    <x v="15"/>
    <s v="27,3"/>
    <s v="Blancas - 5710"/>
    <s v="28"/>
    <m/>
    <x v="12"/>
    <x v="23"/>
    <m/>
    <n v="50"/>
    <m/>
    <n v="1"/>
    <m/>
    <m/>
  </r>
  <r>
    <x v="8"/>
    <x v="2"/>
    <x v="2"/>
    <x v="2"/>
    <s v="11,7"/>
    <s v="Azules - 5924"/>
    <s v="12"/>
    <m/>
    <x v="6"/>
    <x v="16"/>
    <m/>
    <n v="60"/>
    <m/>
    <n v="1"/>
    <m/>
    <m/>
  </r>
  <r>
    <x v="8"/>
    <x v="29"/>
    <x v="28"/>
    <x v="28"/>
    <s v="17,9"/>
    <s v="Azules - 5924"/>
    <s v="20"/>
    <m/>
    <x v="25"/>
    <x v="23"/>
    <m/>
    <n v="50"/>
    <m/>
    <n v="1"/>
    <m/>
    <m/>
  </r>
  <r>
    <x v="8"/>
    <x v="19"/>
    <x v="10"/>
    <x v="19"/>
    <s v="9,9"/>
    <s v="Azules - 5924"/>
    <s v="10"/>
    <m/>
    <x v="15"/>
    <x v="10"/>
    <m/>
    <n v="65"/>
    <m/>
    <n v="1"/>
    <m/>
    <m/>
  </r>
  <r>
    <x v="8"/>
    <x v="25"/>
    <x v="24"/>
    <x v="24"/>
    <s v="11,9"/>
    <s v="Azules - 5924"/>
    <s v="12"/>
    <m/>
    <x v="17"/>
    <x v="10"/>
    <n v="1"/>
    <n v="65"/>
    <m/>
    <n v="1"/>
    <m/>
    <m/>
  </r>
  <r>
    <x v="8"/>
    <x v="24"/>
    <x v="23"/>
    <x v="23"/>
    <s v="8,3"/>
    <s v="Azules - 5924"/>
    <s v="8"/>
    <m/>
    <x v="8"/>
    <x v="15"/>
    <n v="1"/>
    <n v="75"/>
    <m/>
    <n v="1"/>
    <m/>
    <m/>
  </r>
  <r>
    <x v="8"/>
    <x v="6"/>
    <x v="6"/>
    <x v="6"/>
    <s v="19,8"/>
    <s v="Blancas - 5710"/>
    <s v="20"/>
    <m/>
    <x v="29"/>
    <x v="11"/>
    <m/>
    <n v="90"/>
    <n v="120000"/>
    <n v="1"/>
    <m/>
    <m/>
  </r>
  <r>
    <x v="8"/>
    <x v="7"/>
    <x v="7"/>
    <x v="7"/>
    <s v="10,5"/>
    <s v="Azules - 5924"/>
    <s v="11"/>
    <m/>
    <x v="15"/>
    <x v="12"/>
    <m/>
    <n v="70"/>
    <m/>
    <n v="1"/>
    <m/>
    <m/>
  </r>
  <r>
    <x v="8"/>
    <x v="26"/>
    <x v="25"/>
    <x v="25"/>
    <s v="17,6"/>
    <s v="Azules - 5924"/>
    <s v="19"/>
    <m/>
    <x v="4"/>
    <x v="11"/>
    <m/>
    <n v="90"/>
    <n v="120000"/>
    <n v="1"/>
    <m/>
    <m/>
  </r>
  <r>
    <x v="8"/>
    <x v="20"/>
    <x v="19"/>
    <x v="20"/>
    <s v="18,3"/>
    <s v="Blancas - 5710"/>
    <s v="18"/>
    <m/>
    <x v="25"/>
    <x v="24"/>
    <m/>
    <n v="45"/>
    <m/>
    <n v="1"/>
    <m/>
    <m/>
  </r>
  <r>
    <x v="8"/>
    <x v="5"/>
    <x v="5"/>
    <x v="5"/>
    <s v="23,9"/>
    <s v="Blancas - 5710"/>
    <s v="24"/>
    <m/>
    <x v="33"/>
    <x v="6"/>
    <m/>
    <n v="80"/>
    <m/>
    <n v="1"/>
    <m/>
    <m/>
  </r>
  <r>
    <x v="8"/>
    <x v="21"/>
    <x v="20"/>
    <x v="21"/>
    <n v="19.5"/>
    <s v="Blancas - 5710"/>
    <n v="19"/>
    <m/>
    <x v="29"/>
    <x v="2"/>
    <m/>
    <n v="85"/>
    <n v="35000"/>
    <n v="1"/>
    <m/>
    <m/>
  </r>
  <r>
    <x v="9"/>
    <x v="9"/>
    <x v="9"/>
    <x v="9"/>
    <n v="10.199999999999999"/>
    <s v="Azules - 5924"/>
    <n v="10"/>
    <m/>
    <x v="14"/>
    <x v="6"/>
    <m/>
    <n v="75"/>
    <m/>
    <n v="1"/>
    <m/>
    <m/>
  </r>
  <r>
    <x v="9"/>
    <x v="11"/>
    <x v="11"/>
    <x v="11"/>
    <n v="16.399999999999999"/>
    <s v="Blancas - 5710"/>
    <n v="16"/>
    <m/>
    <x v="17"/>
    <x v="2"/>
    <n v="1"/>
    <n v="80"/>
    <m/>
    <n v="1"/>
    <m/>
    <m/>
  </r>
  <r>
    <x v="9"/>
    <x v="22"/>
    <x v="21"/>
    <x v="8"/>
    <n v="19"/>
    <s v="Blancas - 5710"/>
    <n v="19"/>
    <m/>
    <x v="10"/>
    <x v="1"/>
    <m/>
    <n v="95"/>
    <n v="140000"/>
    <n v="1"/>
    <m/>
    <m/>
  </r>
  <r>
    <x v="9"/>
    <x v="6"/>
    <x v="6"/>
    <x v="6"/>
    <n v="19.8"/>
    <s v="Blancas - 5710"/>
    <n v="20"/>
    <m/>
    <x v="29"/>
    <x v="11"/>
    <m/>
    <n v="85"/>
    <m/>
    <n v="1"/>
    <m/>
    <m/>
  </r>
  <r>
    <x v="9"/>
    <x v="16"/>
    <x v="16"/>
    <x v="16"/>
    <n v="18.8"/>
    <s v="Blancas - 5710"/>
    <n v="19"/>
    <m/>
    <x v="5"/>
    <x v="10"/>
    <m/>
    <n v="65"/>
    <m/>
    <n v="1"/>
    <m/>
    <m/>
  </r>
  <r>
    <x v="9"/>
    <x v="18"/>
    <x v="18"/>
    <x v="18"/>
    <n v="11.8"/>
    <s v="Azules - 5924"/>
    <n v="12"/>
    <m/>
    <x v="22"/>
    <x v="25"/>
    <m/>
    <n v="50"/>
    <m/>
    <n v="1"/>
    <m/>
    <m/>
  </r>
  <r>
    <x v="9"/>
    <x v="24"/>
    <x v="23"/>
    <x v="23"/>
    <n v="8.6999999999999993"/>
    <s v="Azules - 5924"/>
    <n v="8"/>
    <m/>
    <x v="15"/>
    <x v="8"/>
    <n v="1"/>
    <n v="60"/>
    <m/>
    <n v="1"/>
    <m/>
    <m/>
  </r>
  <r>
    <x v="9"/>
    <x v="19"/>
    <x v="10"/>
    <x v="19"/>
    <n v="10.199999999999999"/>
    <s v="Azules - 5924"/>
    <n v="10"/>
    <m/>
    <x v="34"/>
    <x v="13"/>
    <m/>
    <n v="100"/>
    <n v="190000"/>
    <n v="1"/>
    <m/>
    <m/>
  </r>
  <r>
    <x v="9"/>
    <x v="7"/>
    <x v="7"/>
    <x v="7"/>
    <n v="10.5"/>
    <s v="Azules - 5924"/>
    <n v="11"/>
    <m/>
    <x v="10"/>
    <x v="15"/>
    <m/>
    <n v="70"/>
    <m/>
    <n v="1"/>
    <m/>
    <m/>
  </r>
  <r>
    <x v="9"/>
    <x v="8"/>
    <x v="8"/>
    <x v="8"/>
    <n v="24.4"/>
    <s v="Blancas - 5710"/>
    <n v="25"/>
    <m/>
    <x v="24"/>
    <x v="7"/>
    <m/>
    <n v="55"/>
    <m/>
    <n v="1"/>
    <m/>
    <m/>
  </r>
  <r>
    <x v="9"/>
    <x v="10"/>
    <x v="10"/>
    <x v="10"/>
    <n v="12.4"/>
    <s v="Azules - 5924"/>
    <n v="13"/>
    <m/>
    <x v="6"/>
    <x v="10"/>
    <n v="1"/>
    <n v="65"/>
    <m/>
    <n v="1"/>
    <m/>
    <n v="110000"/>
  </r>
  <r>
    <x v="9"/>
    <x v="2"/>
    <x v="2"/>
    <x v="2"/>
    <n v="11.7"/>
    <s v="Azules - 5924"/>
    <n v="12"/>
    <m/>
    <x v="27"/>
    <x v="3"/>
    <m/>
    <n v="90"/>
    <n v="100000"/>
    <n v="1"/>
    <m/>
    <m/>
  </r>
  <r>
    <x v="10"/>
    <x v="9"/>
    <x v="9"/>
    <x v="9"/>
    <s v="9,8"/>
    <s v="Azules - 5924"/>
    <n v="10"/>
    <m/>
    <x v="14"/>
    <x v="6"/>
    <m/>
    <n v="120"/>
    <m/>
    <n v="1"/>
    <m/>
    <n v="140000"/>
  </r>
  <r>
    <x v="10"/>
    <x v="4"/>
    <x v="4"/>
    <x v="4"/>
    <s v="11,3"/>
    <s v="Azules - 5924"/>
    <s v="11"/>
    <m/>
    <x v="17"/>
    <x v="16"/>
    <m/>
    <n v="100"/>
    <m/>
    <n v="1"/>
    <m/>
    <m/>
  </r>
  <r>
    <x v="10"/>
    <x v="25"/>
    <x v="24"/>
    <x v="24"/>
    <s v="11,9"/>
    <s v="Azules - 5924"/>
    <s v="12"/>
    <m/>
    <x v="30"/>
    <x v="19"/>
    <m/>
    <n v="170"/>
    <n v="100000"/>
    <n v="1"/>
    <m/>
    <m/>
  </r>
  <r>
    <x v="10"/>
    <x v="18"/>
    <x v="18"/>
    <x v="18"/>
    <n v="11.8"/>
    <s v="Azules - 5924"/>
    <n v="12"/>
    <m/>
    <x v="10"/>
    <x v="6"/>
    <m/>
    <n v="120"/>
    <m/>
    <n v="1"/>
    <m/>
    <m/>
  </r>
  <r>
    <x v="10"/>
    <x v="11"/>
    <x v="11"/>
    <x v="11"/>
    <s v="16,2"/>
    <s v="Blancas - 5710"/>
    <n v="16"/>
    <m/>
    <x v="17"/>
    <x v="2"/>
    <m/>
    <n v="130"/>
    <m/>
    <n v="1"/>
    <m/>
    <m/>
  </r>
  <r>
    <x v="10"/>
    <x v="0"/>
    <x v="0"/>
    <x v="0"/>
    <s v="17,8"/>
    <s v="Azules - 5924"/>
    <s v="19"/>
    <m/>
    <x v="33"/>
    <x v="8"/>
    <m/>
    <n v="90"/>
    <m/>
    <n v="1"/>
    <m/>
    <m/>
  </r>
  <r>
    <x v="10"/>
    <x v="26"/>
    <x v="25"/>
    <x v="25"/>
    <s v="17,6"/>
    <s v="Azules - 5924"/>
    <s v="19"/>
    <m/>
    <x v="10"/>
    <x v="1"/>
    <m/>
    <n v="180"/>
    <n v="140000"/>
    <n v="1"/>
    <m/>
    <m/>
  </r>
  <r>
    <x v="10"/>
    <x v="21"/>
    <x v="20"/>
    <x v="21"/>
    <n v="19.5"/>
    <s v="Blancas - 5710"/>
    <n v="19"/>
    <m/>
    <x v="24"/>
    <x v="17"/>
    <m/>
    <n v="80"/>
    <m/>
    <n v="1"/>
    <m/>
    <m/>
  </r>
  <r>
    <x v="10"/>
    <x v="1"/>
    <x v="1"/>
    <x v="1"/>
    <s v="23,1"/>
    <s v="Blancas - 5710"/>
    <s v="23"/>
    <m/>
    <x v="16"/>
    <x v="5"/>
    <m/>
    <n v="160"/>
    <m/>
    <n v="1"/>
    <m/>
    <m/>
  </r>
  <r>
    <x v="10"/>
    <x v="8"/>
    <x v="8"/>
    <x v="8"/>
    <n v="24.4"/>
    <s v="Blancas - 5710"/>
    <n v="25"/>
    <m/>
    <x v="35"/>
    <x v="18"/>
    <m/>
    <n v="70"/>
    <m/>
    <n v="1"/>
    <m/>
    <m/>
  </r>
  <r>
    <x v="10"/>
    <x v="13"/>
    <x v="13"/>
    <x v="13"/>
    <s v="24,8"/>
    <s v="Blancas - 5710"/>
    <s v="25"/>
    <m/>
    <x v="25"/>
    <x v="16"/>
    <m/>
    <n v="100"/>
    <m/>
    <n v="1"/>
    <m/>
    <m/>
  </r>
  <r>
    <x v="10"/>
    <x v="15"/>
    <x v="15"/>
    <x v="15"/>
    <n v="27"/>
    <s v="Blancas - 5710"/>
    <s v="28"/>
    <m/>
    <x v="29"/>
    <x v="20"/>
    <m/>
    <n v="200"/>
    <n v="200000"/>
    <n v="1"/>
    <m/>
    <m/>
  </r>
  <r>
    <x v="10"/>
    <x v="3"/>
    <x v="3"/>
    <x v="3"/>
    <s v="15,4"/>
    <s v="Blancas - 5710"/>
    <n v="15"/>
    <m/>
    <x v="4"/>
    <x v="12"/>
    <m/>
    <n v="110"/>
    <m/>
    <n v="1"/>
    <m/>
    <m/>
  </r>
  <r>
    <x v="10"/>
    <x v="16"/>
    <x v="16"/>
    <x v="16"/>
    <s v="18,7"/>
    <s v="Blancas - 5710"/>
    <s v="18"/>
    <m/>
    <x v="6"/>
    <x v="11"/>
    <m/>
    <n v="140"/>
    <m/>
    <n v="1"/>
    <m/>
    <m/>
  </r>
  <r>
    <x v="10"/>
    <x v="6"/>
    <x v="6"/>
    <x v="6"/>
    <s v="19,2"/>
    <s v="Blancas - 5710"/>
    <s v="19"/>
    <m/>
    <x v="14"/>
    <x v="9"/>
    <m/>
    <n v="190"/>
    <n v="160000"/>
    <n v="1"/>
    <m/>
    <m/>
  </r>
  <r>
    <x v="10"/>
    <x v="20"/>
    <x v="19"/>
    <x v="20"/>
    <s v="18,3"/>
    <s v="Blancas - 5710"/>
    <s v="18"/>
    <m/>
    <x v="17"/>
    <x v="5"/>
    <m/>
    <n v="150"/>
    <m/>
    <n v="1"/>
    <m/>
    <m/>
  </r>
  <r>
    <x v="11"/>
    <x v="1"/>
    <x v="1"/>
    <x v="1"/>
    <s v="23,1"/>
    <s v="Blancas - 5710"/>
    <s v="23"/>
    <m/>
    <x v="36"/>
    <x v="12"/>
    <m/>
    <n v="110"/>
    <m/>
    <n v="1"/>
    <m/>
    <m/>
  </r>
  <r>
    <x v="11"/>
    <x v="11"/>
    <x v="11"/>
    <x v="11"/>
    <s v="16,2"/>
    <s v="Blancas - 5710"/>
    <n v="16"/>
    <m/>
    <x v="30"/>
    <x v="13"/>
    <m/>
    <n v="180"/>
    <n v="120000"/>
    <n v="1"/>
    <m/>
    <m/>
  </r>
  <r>
    <x v="11"/>
    <x v="9"/>
    <x v="9"/>
    <x v="9"/>
    <s v="9,8"/>
    <s v="Azules - 5924"/>
    <n v="10"/>
    <m/>
    <x v="30"/>
    <x v="11"/>
    <m/>
    <n v="150"/>
    <m/>
    <n v="1"/>
    <m/>
    <n v="140000"/>
  </r>
  <r>
    <x v="11"/>
    <x v="18"/>
    <x v="18"/>
    <x v="18"/>
    <n v="11.8"/>
    <s v="Azules - 5924"/>
    <n v="12"/>
    <m/>
    <x v="30"/>
    <x v="19"/>
    <m/>
    <n v="160"/>
    <m/>
    <n v="1"/>
    <m/>
    <m/>
  </r>
  <r>
    <x v="11"/>
    <x v="3"/>
    <x v="3"/>
    <x v="3"/>
    <s v="15,4"/>
    <s v="Blancas - 5710"/>
    <n v="15"/>
    <m/>
    <x v="8"/>
    <x v="3"/>
    <m/>
    <n v="170"/>
    <n v="50000"/>
    <n v="1"/>
    <m/>
    <m/>
  </r>
  <r>
    <x v="11"/>
    <x v="4"/>
    <x v="4"/>
    <x v="4"/>
    <s v="11,3"/>
    <s v="Azules - 5924"/>
    <s v="11"/>
    <m/>
    <x v="3"/>
    <x v="6"/>
    <m/>
    <n v="130"/>
    <m/>
    <n v="1"/>
    <m/>
    <m/>
  </r>
  <r>
    <x v="11"/>
    <x v="13"/>
    <x v="13"/>
    <x v="13"/>
    <s v="24,8"/>
    <s v="Blancas - 5710"/>
    <s v="25"/>
    <m/>
    <x v="28"/>
    <x v="19"/>
    <m/>
    <n v="160"/>
    <m/>
    <n v="1"/>
    <m/>
    <m/>
  </r>
  <r>
    <x v="11"/>
    <x v="8"/>
    <x v="8"/>
    <x v="8"/>
    <n v="24.4"/>
    <s v="Blancas - 5710"/>
    <n v="25"/>
    <m/>
    <x v="22"/>
    <x v="15"/>
    <m/>
    <n v="120"/>
    <m/>
    <n v="1"/>
    <m/>
    <m/>
  </r>
  <r>
    <x v="11"/>
    <x v="15"/>
    <x v="15"/>
    <x v="15"/>
    <n v="27"/>
    <s v="Blancas - 5710"/>
    <s v="28"/>
    <m/>
    <x v="25"/>
    <x v="15"/>
    <m/>
    <n v="120"/>
    <m/>
    <n v="1"/>
    <m/>
    <m/>
  </r>
  <r>
    <x v="11"/>
    <x v="6"/>
    <x v="6"/>
    <x v="6"/>
    <s v="19,2"/>
    <s v="Blancas - 5710"/>
    <s v="19"/>
    <m/>
    <x v="17"/>
    <x v="19"/>
    <m/>
    <n v="160"/>
    <m/>
    <n v="1"/>
    <m/>
    <m/>
  </r>
  <r>
    <x v="11"/>
    <x v="26"/>
    <x v="25"/>
    <x v="25"/>
    <s v="17,6"/>
    <s v="Azules - 5924"/>
    <s v="19"/>
    <m/>
    <x v="15"/>
    <x v="3"/>
    <m/>
    <n v="170"/>
    <n v="50000"/>
    <n v="1"/>
    <m/>
    <m/>
  </r>
  <r>
    <x v="11"/>
    <x v="25"/>
    <x v="24"/>
    <x v="24"/>
    <s v="11,9"/>
    <s v="Azules - 5924"/>
    <s v="12"/>
    <m/>
    <x v="26"/>
    <x v="9"/>
    <m/>
    <n v="190"/>
    <n v="160000"/>
    <n v="1"/>
    <m/>
    <m/>
  </r>
  <r>
    <x v="11"/>
    <x v="2"/>
    <x v="2"/>
    <x v="2"/>
    <s v="11,4"/>
    <s v="Azules - 5924"/>
    <s v="12"/>
    <m/>
    <x v="3"/>
    <x v="2"/>
    <m/>
    <n v="140"/>
    <m/>
    <n v="1"/>
    <m/>
    <m/>
  </r>
  <r>
    <x v="11"/>
    <x v="19"/>
    <x v="10"/>
    <x v="19"/>
    <s v="10,2"/>
    <s v="Azules - 5924"/>
    <s v="10"/>
    <m/>
    <x v="27"/>
    <x v="19"/>
    <m/>
    <n v="160"/>
    <m/>
    <n v="1"/>
    <m/>
    <m/>
  </r>
  <r>
    <x v="11"/>
    <x v="7"/>
    <x v="7"/>
    <x v="7"/>
    <s v="9,9"/>
    <s v="Azules - 5924"/>
    <s v="10"/>
    <m/>
    <x v="37"/>
    <x v="26"/>
    <m/>
    <n v="200"/>
    <n v="200000"/>
    <n v="1"/>
    <m/>
    <m/>
  </r>
  <r>
    <x v="11"/>
    <x v="10"/>
    <x v="10"/>
    <x v="10"/>
    <s v="13"/>
    <s v="Azules - 5924"/>
    <s v="14"/>
    <m/>
    <x v="1"/>
    <x v="8"/>
    <m/>
    <n v="100"/>
    <m/>
    <n v="1"/>
    <m/>
    <m/>
  </r>
  <r>
    <x v="12"/>
    <x v="15"/>
    <x v="15"/>
    <x v="15"/>
    <n v="27"/>
    <s v="Blancas - 5710"/>
    <s v="28"/>
    <m/>
    <x v="0"/>
    <x v="27"/>
    <m/>
    <m/>
    <m/>
    <n v="1"/>
    <m/>
    <m/>
  </r>
  <r>
    <x v="12"/>
    <x v="0"/>
    <x v="0"/>
    <x v="0"/>
    <s v="17,8"/>
    <s v="Azules - 5924"/>
    <s v="19"/>
    <m/>
    <x v="0"/>
    <x v="28"/>
    <m/>
    <m/>
    <m/>
    <n v="1"/>
    <m/>
    <m/>
  </r>
  <r>
    <x v="12"/>
    <x v="4"/>
    <x v="4"/>
    <x v="4"/>
    <s v="11,3"/>
    <s v="Azules - 5924"/>
    <s v="11"/>
    <m/>
    <x v="0"/>
    <x v="29"/>
    <m/>
    <m/>
    <m/>
    <n v="1"/>
    <m/>
    <m/>
  </r>
  <r>
    <x v="12"/>
    <x v="6"/>
    <x v="6"/>
    <x v="6"/>
    <s v="19,2"/>
    <s v="Blancas - 5710"/>
    <s v="19"/>
    <m/>
    <x v="0"/>
    <x v="28"/>
    <m/>
    <m/>
    <m/>
    <n v="1"/>
    <m/>
    <m/>
  </r>
  <r>
    <x v="12"/>
    <x v="11"/>
    <x v="11"/>
    <x v="11"/>
    <s v="16,2"/>
    <s v="Blancas - 5710"/>
    <n v="16"/>
    <m/>
    <x v="0"/>
    <x v="30"/>
    <m/>
    <m/>
    <m/>
    <n v="1"/>
    <m/>
    <m/>
  </r>
  <r>
    <x v="12"/>
    <x v="16"/>
    <x v="16"/>
    <x v="16"/>
    <s v="18,7"/>
    <s v="Blancas - 5710"/>
    <s v="18"/>
    <m/>
    <x v="0"/>
    <x v="31"/>
    <m/>
    <m/>
    <m/>
    <n v="1"/>
    <m/>
    <m/>
  </r>
  <r>
    <x v="12"/>
    <x v="3"/>
    <x v="3"/>
    <x v="3"/>
    <s v="15,4"/>
    <s v="Blancas - 5710"/>
    <n v="15"/>
    <m/>
    <x v="0"/>
    <x v="32"/>
    <m/>
    <m/>
    <m/>
    <n v="1"/>
    <m/>
    <m/>
  </r>
  <r>
    <x v="12"/>
    <x v="9"/>
    <x v="9"/>
    <x v="9"/>
    <s v="9,8"/>
    <s v="Azules - 5924"/>
    <n v="10"/>
    <m/>
    <x v="0"/>
    <x v="33"/>
    <m/>
    <m/>
    <m/>
    <n v="1"/>
    <m/>
    <m/>
  </r>
  <r>
    <x v="12"/>
    <x v="24"/>
    <x v="23"/>
    <x v="23"/>
    <s v="8,3"/>
    <s v="Azules - 5924"/>
    <s v="8"/>
    <m/>
    <x v="0"/>
    <x v="34"/>
    <m/>
    <m/>
    <m/>
    <n v="1"/>
    <m/>
    <m/>
  </r>
  <r>
    <x v="12"/>
    <x v="19"/>
    <x v="10"/>
    <x v="19"/>
    <s v="10,2"/>
    <s v="Azules - 5924"/>
    <s v="10"/>
    <m/>
    <x v="0"/>
    <x v="33"/>
    <m/>
    <m/>
    <m/>
    <n v="1"/>
    <m/>
    <m/>
  </r>
  <r>
    <x v="12"/>
    <x v="7"/>
    <x v="7"/>
    <x v="7"/>
    <s v="9,9"/>
    <s v="Azules - 5924"/>
    <s v="10"/>
    <m/>
    <x v="0"/>
    <x v="33"/>
    <m/>
    <m/>
    <m/>
    <n v="1"/>
    <m/>
    <m/>
  </r>
  <r>
    <x v="12"/>
    <x v="10"/>
    <x v="10"/>
    <x v="10"/>
    <s v="13"/>
    <s v="Azules - 5924"/>
    <s v="14"/>
    <m/>
    <x v="0"/>
    <x v="35"/>
    <m/>
    <m/>
    <m/>
    <n v="1"/>
    <m/>
    <m/>
  </r>
  <r>
    <x v="12"/>
    <x v="2"/>
    <x v="2"/>
    <x v="2"/>
    <s v="11,4"/>
    <s v="Azules - 5924"/>
    <n v="12"/>
    <m/>
    <x v="0"/>
    <x v="36"/>
    <m/>
    <m/>
    <m/>
    <n v="1"/>
    <m/>
    <m/>
  </r>
  <r>
    <x v="12"/>
    <x v="14"/>
    <x v="14"/>
    <x v="14"/>
    <s v="17,1"/>
    <s v="Azules - 5924"/>
    <s v="19"/>
    <m/>
    <x v="0"/>
    <x v="28"/>
    <m/>
    <m/>
    <m/>
    <n v="1"/>
    <m/>
    <m/>
  </r>
  <r>
    <x v="12"/>
    <x v="13"/>
    <x v="13"/>
    <x v="13"/>
    <s v="24,8"/>
    <s v="Blancas - 5710"/>
    <s v="25"/>
    <m/>
    <x v="0"/>
    <x v="37"/>
    <m/>
    <m/>
    <m/>
    <n v="1"/>
    <m/>
    <m/>
  </r>
  <r>
    <x v="12"/>
    <x v="52"/>
    <x v="50"/>
    <x v="48"/>
    <n v="8.1999999999999993"/>
    <s v="Azules - 5924"/>
    <n v="8"/>
    <m/>
    <x v="0"/>
    <x v="34"/>
    <m/>
    <m/>
    <m/>
    <n v="1"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x v="0"/>
    <x v="0"/>
    <x v="0"/>
    <x v="0"/>
    <m/>
    <m/>
    <m/>
    <m/>
    <m/>
    <m/>
    <x v="0"/>
    <n v="935"/>
    <n v="1032000"/>
    <n v="11"/>
    <m/>
    <m/>
  </r>
  <r>
    <x v="0"/>
    <x v="1"/>
    <x v="1"/>
    <x v="1"/>
    <m/>
    <m/>
    <m/>
    <m/>
    <m/>
    <m/>
    <x v="1"/>
    <n v="800"/>
    <n v="300000"/>
    <n v="9"/>
    <m/>
    <m/>
  </r>
  <r>
    <x v="0"/>
    <x v="2"/>
    <x v="2"/>
    <x v="2"/>
    <m/>
    <m/>
    <m/>
    <m/>
    <m/>
    <m/>
    <x v="2"/>
    <n v="750"/>
    <n v="410000"/>
    <n v="10"/>
    <m/>
    <m/>
  </r>
  <r>
    <x v="1"/>
    <x v="3"/>
    <x v="3"/>
    <x v="3"/>
    <m/>
    <m/>
    <m/>
    <m/>
    <m/>
    <m/>
    <x v="3"/>
    <n v="710"/>
    <n v="277000"/>
    <n v="10"/>
    <m/>
    <m/>
  </r>
  <r>
    <x v="0"/>
    <x v="4"/>
    <x v="4"/>
    <x v="4"/>
    <m/>
    <m/>
    <m/>
    <m/>
    <m/>
    <m/>
    <x v="1"/>
    <n v="760"/>
    <n v="270000"/>
    <n v="9"/>
    <m/>
    <m/>
  </r>
  <r>
    <x v="0"/>
    <x v="5"/>
    <x v="5"/>
    <x v="5"/>
    <m/>
    <m/>
    <m/>
    <m/>
    <m/>
    <m/>
    <x v="2"/>
    <n v="725"/>
    <n v="340000"/>
    <n v="11"/>
    <m/>
    <m/>
  </r>
  <r>
    <x v="0"/>
    <x v="6"/>
    <x v="6"/>
    <x v="6"/>
    <m/>
    <m/>
    <m/>
    <m/>
    <m/>
    <m/>
    <x v="2"/>
    <n v="670"/>
    <m/>
    <n v="8"/>
    <m/>
    <m/>
  </r>
  <r>
    <x v="0"/>
    <x v="7"/>
    <x v="7"/>
    <x v="7"/>
    <m/>
    <m/>
    <m/>
    <m/>
    <m/>
    <m/>
    <x v="2"/>
    <n v="750"/>
    <n v="330000"/>
    <n v="10"/>
    <m/>
    <m/>
  </r>
  <r>
    <x v="0"/>
    <x v="8"/>
    <x v="8"/>
    <x v="8"/>
    <m/>
    <m/>
    <m/>
    <m/>
    <m/>
    <m/>
    <x v="2"/>
    <n v="735"/>
    <n v="620000"/>
    <n v="10"/>
    <m/>
    <m/>
  </r>
  <r>
    <x v="0"/>
    <x v="9"/>
    <x v="9"/>
    <x v="9"/>
    <m/>
    <m/>
    <m/>
    <m/>
    <m/>
    <m/>
    <x v="4"/>
    <n v="655"/>
    <n v="807000"/>
    <n v="8"/>
    <m/>
    <m/>
  </r>
  <r>
    <x v="0"/>
    <x v="10"/>
    <x v="10"/>
    <x v="10"/>
    <m/>
    <m/>
    <m/>
    <m/>
    <m/>
    <m/>
    <x v="2"/>
    <n v="620"/>
    <n v="200000"/>
    <n v="6"/>
    <m/>
    <m/>
  </r>
  <r>
    <x v="0"/>
    <x v="11"/>
    <x v="11"/>
    <x v="11"/>
    <m/>
    <m/>
    <m/>
    <m/>
    <m/>
    <m/>
    <x v="0"/>
    <n v="670"/>
    <n v="160000"/>
    <n v="10"/>
    <m/>
    <m/>
  </r>
  <r>
    <x v="0"/>
    <x v="12"/>
    <x v="12"/>
    <x v="12"/>
    <m/>
    <m/>
    <m/>
    <m/>
    <m/>
    <m/>
    <x v="2"/>
    <n v="675"/>
    <n v="100000"/>
    <n v="8"/>
    <m/>
    <m/>
  </r>
  <r>
    <x v="0"/>
    <x v="13"/>
    <x v="13"/>
    <x v="13"/>
    <m/>
    <m/>
    <m/>
    <m/>
    <m/>
    <m/>
    <x v="1"/>
    <n v="605"/>
    <n v="410000"/>
    <n v="9"/>
    <m/>
    <m/>
  </r>
  <r>
    <x v="0"/>
    <x v="14"/>
    <x v="14"/>
    <x v="14"/>
    <m/>
    <m/>
    <m/>
    <m/>
    <m/>
    <m/>
    <x v="0"/>
    <n v="655"/>
    <n v="580000"/>
    <n v="7"/>
    <m/>
    <n v="2050000"/>
  </r>
  <r>
    <x v="0"/>
    <x v="15"/>
    <x v="15"/>
    <x v="15"/>
    <m/>
    <m/>
    <m/>
    <m/>
    <m/>
    <m/>
    <x v="5"/>
    <n v="620"/>
    <n v="80000"/>
    <n v="9"/>
    <m/>
    <m/>
  </r>
  <r>
    <x v="0"/>
    <x v="16"/>
    <x v="16"/>
    <x v="16"/>
    <m/>
    <m/>
    <m/>
    <m/>
    <m/>
    <m/>
    <x v="2"/>
    <n v="575"/>
    <n v="120000"/>
    <n v="6"/>
    <m/>
    <m/>
  </r>
  <r>
    <x v="0"/>
    <x v="17"/>
    <x v="17"/>
    <x v="17"/>
    <m/>
    <m/>
    <m/>
    <m/>
    <m/>
    <m/>
    <x v="2"/>
    <n v="560"/>
    <n v="430000"/>
    <n v="8"/>
    <m/>
    <m/>
  </r>
  <r>
    <x v="0"/>
    <x v="18"/>
    <x v="18"/>
    <x v="18"/>
    <m/>
    <m/>
    <m/>
    <m/>
    <m/>
    <m/>
    <x v="2"/>
    <n v="545"/>
    <n v="420000"/>
    <n v="7"/>
    <m/>
    <m/>
  </r>
  <r>
    <x v="0"/>
    <x v="19"/>
    <x v="10"/>
    <x v="19"/>
    <m/>
    <m/>
    <m/>
    <m/>
    <m/>
    <m/>
    <x v="2"/>
    <n v="445"/>
    <n v="667000"/>
    <n v="4"/>
    <m/>
    <m/>
  </r>
  <r>
    <x v="0"/>
    <x v="20"/>
    <x v="19"/>
    <x v="20"/>
    <m/>
    <m/>
    <m/>
    <m/>
    <m/>
    <m/>
    <x v="2"/>
    <n v="430"/>
    <n v="120000"/>
    <n v="8"/>
    <m/>
    <m/>
  </r>
  <r>
    <x v="0"/>
    <x v="21"/>
    <x v="20"/>
    <x v="21"/>
    <m/>
    <m/>
    <m/>
    <m/>
    <m/>
    <m/>
    <x v="2"/>
    <n v="475"/>
    <n v="480000"/>
    <n v="5"/>
    <m/>
    <m/>
  </r>
  <r>
    <x v="0"/>
    <x v="22"/>
    <x v="21"/>
    <x v="8"/>
    <m/>
    <m/>
    <m/>
    <m/>
    <m/>
    <m/>
    <x v="2"/>
    <n v="400"/>
    <n v="270000"/>
    <n v="7"/>
    <m/>
    <m/>
  </r>
  <r>
    <x v="0"/>
    <x v="23"/>
    <x v="22"/>
    <x v="22"/>
    <m/>
    <m/>
    <m/>
    <m/>
    <m/>
    <m/>
    <x v="2"/>
    <n v="395"/>
    <n v="390000"/>
    <n v="5"/>
    <m/>
    <m/>
  </r>
  <r>
    <x v="0"/>
    <x v="24"/>
    <x v="23"/>
    <x v="23"/>
    <m/>
    <m/>
    <m/>
    <m/>
    <m/>
    <m/>
    <x v="2"/>
    <n v="485"/>
    <n v="410000"/>
    <n v="8"/>
    <m/>
    <m/>
  </r>
  <r>
    <x v="0"/>
    <x v="25"/>
    <x v="24"/>
    <x v="24"/>
    <m/>
    <m/>
    <m/>
    <m/>
    <m/>
    <m/>
    <x v="5"/>
    <n v="420"/>
    <n v="340000"/>
    <n v="5"/>
    <m/>
    <m/>
  </r>
  <r>
    <x v="0"/>
    <x v="26"/>
    <x v="25"/>
    <x v="25"/>
    <m/>
    <m/>
    <m/>
    <m/>
    <m/>
    <m/>
    <x v="4"/>
    <n v="285"/>
    <n v="310000"/>
    <n v="4"/>
    <m/>
    <m/>
  </r>
  <r>
    <x v="0"/>
    <x v="27"/>
    <x v="26"/>
    <x v="26"/>
    <m/>
    <m/>
    <m/>
    <m/>
    <m/>
    <m/>
    <x v="2"/>
    <n v="255"/>
    <n v="380000"/>
    <n v="4"/>
    <m/>
    <m/>
  </r>
  <r>
    <x v="0"/>
    <x v="28"/>
    <x v="27"/>
    <x v="27"/>
    <m/>
    <m/>
    <m/>
    <m/>
    <m/>
    <m/>
    <x v="6"/>
    <n v="240"/>
    <n v="60000"/>
    <n v="4"/>
    <m/>
    <m/>
  </r>
  <r>
    <x v="0"/>
    <x v="29"/>
    <x v="28"/>
    <x v="28"/>
    <m/>
    <m/>
    <m/>
    <m/>
    <m/>
    <m/>
    <x v="2"/>
    <n v="270"/>
    <m/>
    <n v="4"/>
    <m/>
    <m/>
  </r>
  <r>
    <x v="0"/>
    <x v="30"/>
    <x v="29"/>
    <x v="29"/>
    <m/>
    <m/>
    <m/>
    <m/>
    <m/>
    <m/>
    <x v="2"/>
    <n v="215"/>
    <n v="60000"/>
    <n v="3"/>
    <m/>
    <m/>
  </r>
  <r>
    <x v="0"/>
    <x v="31"/>
    <x v="30"/>
    <x v="30"/>
    <m/>
    <m/>
    <m/>
    <m/>
    <m/>
    <m/>
    <x v="2"/>
    <n v="210"/>
    <m/>
    <n v="3"/>
    <m/>
    <m/>
  </r>
  <r>
    <x v="0"/>
    <x v="32"/>
    <x v="31"/>
    <x v="31"/>
    <m/>
    <m/>
    <m/>
    <m/>
    <m/>
    <m/>
    <x v="5"/>
    <n v="205"/>
    <n v="60000"/>
    <n v="3"/>
    <m/>
    <m/>
  </r>
  <r>
    <x v="0"/>
    <x v="33"/>
    <x v="32"/>
    <x v="32"/>
    <m/>
    <m/>
    <m/>
    <m/>
    <m/>
    <m/>
    <x v="2"/>
    <n v="130"/>
    <n v="167000"/>
    <n v="2"/>
    <m/>
    <m/>
  </r>
  <r>
    <x v="0"/>
    <x v="34"/>
    <x v="33"/>
    <x v="33"/>
    <m/>
    <m/>
    <m/>
    <m/>
    <m/>
    <m/>
    <x v="5"/>
    <n v="125"/>
    <n v="60000"/>
    <n v="2"/>
    <m/>
    <m/>
  </r>
  <r>
    <x v="0"/>
    <x v="35"/>
    <x v="34"/>
    <x v="27"/>
    <m/>
    <m/>
    <m/>
    <m/>
    <m/>
    <m/>
    <x v="2"/>
    <n v="110"/>
    <m/>
    <n v="1"/>
    <m/>
    <m/>
  </r>
  <r>
    <x v="0"/>
    <x v="36"/>
    <x v="35"/>
    <x v="34"/>
    <m/>
    <m/>
    <m/>
    <m/>
    <m/>
    <m/>
    <x v="2"/>
    <n v="110"/>
    <m/>
    <n v="1"/>
    <m/>
    <m/>
  </r>
  <r>
    <x v="0"/>
    <x v="37"/>
    <x v="36"/>
    <x v="35"/>
    <m/>
    <m/>
    <m/>
    <m/>
    <m/>
    <m/>
    <x v="2"/>
    <n v="90"/>
    <n v="130000"/>
    <n v="1"/>
    <m/>
    <m/>
  </r>
  <r>
    <x v="0"/>
    <x v="38"/>
    <x v="37"/>
    <x v="36"/>
    <m/>
    <m/>
    <m/>
    <m/>
    <m/>
    <m/>
    <x v="2"/>
    <n v="80"/>
    <n v="30000"/>
    <n v="1"/>
    <m/>
    <m/>
  </r>
  <r>
    <x v="0"/>
    <x v="39"/>
    <x v="38"/>
    <x v="9"/>
    <m/>
    <m/>
    <m/>
    <m/>
    <m/>
    <m/>
    <x v="2"/>
    <n v="80"/>
    <n v="130000"/>
    <n v="1"/>
    <m/>
    <m/>
  </r>
  <r>
    <x v="0"/>
    <x v="40"/>
    <x v="39"/>
    <x v="37"/>
    <m/>
    <m/>
    <m/>
    <m/>
    <m/>
    <m/>
    <x v="2"/>
    <n v="75"/>
    <n v="85000"/>
    <n v="1"/>
    <m/>
    <m/>
  </r>
  <r>
    <x v="0"/>
    <x v="41"/>
    <x v="40"/>
    <x v="38"/>
    <m/>
    <m/>
    <m/>
    <m/>
    <m/>
    <m/>
    <x v="2"/>
    <n v="75"/>
    <n v="85000"/>
    <n v="1"/>
    <m/>
    <m/>
  </r>
  <r>
    <x v="0"/>
    <x v="42"/>
    <x v="41"/>
    <x v="39"/>
    <m/>
    <m/>
    <m/>
    <m/>
    <m/>
    <m/>
    <x v="2"/>
    <n v="70"/>
    <m/>
    <n v="1"/>
    <m/>
    <m/>
  </r>
  <r>
    <x v="0"/>
    <x v="43"/>
    <x v="42"/>
    <x v="40"/>
    <m/>
    <m/>
    <m/>
    <m/>
    <m/>
    <m/>
    <x v="5"/>
    <n v="70"/>
    <m/>
    <n v="2"/>
    <m/>
    <m/>
  </r>
  <r>
    <x v="0"/>
    <x v="44"/>
    <x v="43"/>
    <x v="41"/>
    <m/>
    <m/>
    <m/>
    <m/>
    <m/>
    <m/>
    <x v="2"/>
    <n v="65"/>
    <m/>
    <n v="1"/>
    <m/>
    <m/>
  </r>
  <r>
    <x v="0"/>
    <x v="45"/>
    <x v="44"/>
    <x v="42"/>
    <m/>
    <m/>
    <m/>
    <m/>
    <m/>
    <m/>
    <x v="2"/>
    <n v="65"/>
    <m/>
    <n v="1"/>
    <m/>
    <m/>
  </r>
  <r>
    <x v="0"/>
    <x v="46"/>
    <x v="38"/>
    <x v="32"/>
    <m/>
    <m/>
    <m/>
    <m/>
    <m/>
    <m/>
    <x v="2"/>
    <n v="60"/>
    <m/>
    <n v="1"/>
    <m/>
    <m/>
  </r>
  <r>
    <x v="0"/>
    <x v="47"/>
    <x v="45"/>
    <x v="43"/>
    <m/>
    <m/>
    <m/>
    <m/>
    <m/>
    <m/>
    <x v="5"/>
    <n v="50"/>
    <m/>
    <n v="1"/>
    <m/>
    <m/>
  </r>
  <r>
    <x v="0"/>
    <x v="48"/>
    <x v="46"/>
    <x v="44"/>
    <m/>
    <m/>
    <m/>
    <m/>
    <m/>
    <m/>
    <x v="2"/>
    <n v="35"/>
    <m/>
    <n v="1"/>
    <m/>
    <m/>
  </r>
  <r>
    <x v="0"/>
    <x v="49"/>
    <x v="47"/>
    <x v="45"/>
    <m/>
    <m/>
    <m/>
    <m/>
    <m/>
    <m/>
    <x v="2"/>
    <n v="30"/>
    <m/>
    <n v="1"/>
    <m/>
    <m/>
  </r>
  <r>
    <x v="1"/>
    <x v="50"/>
    <x v="48"/>
    <x v="46"/>
    <m/>
    <m/>
    <m/>
    <m/>
    <m/>
    <m/>
    <x v="2"/>
    <n v="95"/>
    <n v="180000"/>
    <n v="1"/>
    <m/>
    <m/>
  </r>
  <r>
    <x v="2"/>
    <x v="9"/>
    <x v="9"/>
    <x v="9"/>
    <m/>
    <m/>
    <m/>
    <m/>
    <m/>
    <m/>
    <x v="2"/>
    <n v="95"/>
    <m/>
    <n v="1"/>
    <m/>
    <m/>
  </r>
  <r>
    <x v="2"/>
    <x v="0"/>
    <x v="0"/>
    <x v="0"/>
    <m/>
    <m/>
    <m/>
    <m/>
    <m/>
    <m/>
    <x v="2"/>
    <n v="65"/>
    <m/>
    <n v="1"/>
    <m/>
    <n v="250000"/>
  </r>
  <r>
    <x v="2"/>
    <x v="14"/>
    <x v="14"/>
    <x v="14"/>
    <m/>
    <m/>
    <m/>
    <m/>
    <m/>
    <m/>
    <x v="2"/>
    <n v="90"/>
    <m/>
    <n v="1"/>
    <m/>
    <m/>
  </r>
  <r>
    <x v="2"/>
    <x v="11"/>
    <x v="11"/>
    <x v="11"/>
    <m/>
    <m/>
    <m/>
    <m/>
    <m/>
    <m/>
    <x v="2"/>
    <n v="95"/>
    <m/>
    <n v="1"/>
    <m/>
    <m/>
  </r>
  <r>
    <x v="2"/>
    <x v="20"/>
    <x v="19"/>
    <x v="20"/>
    <m/>
    <m/>
    <m/>
    <m/>
    <m/>
    <m/>
    <x v="2"/>
    <n v="60"/>
    <m/>
    <n v="1"/>
    <m/>
    <m/>
  </r>
  <r>
    <x v="2"/>
    <x v="8"/>
    <x v="8"/>
    <x v="8"/>
    <m/>
    <m/>
    <m/>
    <m/>
    <m/>
    <m/>
    <x v="2"/>
    <n v="75"/>
    <m/>
    <n v="1"/>
    <m/>
    <m/>
  </r>
  <r>
    <x v="2"/>
    <x v="29"/>
    <x v="28"/>
    <x v="28"/>
    <m/>
    <m/>
    <m/>
    <m/>
    <m/>
    <m/>
    <x v="2"/>
    <n v="80"/>
    <m/>
    <n v="1"/>
    <m/>
    <m/>
  </r>
  <r>
    <x v="2"/>
    <x v="2"/>
    <x v="2"/>
    <x v="2"/>
    <m/>
    <m/>
    <m/>
    <m/>
    <m/>
    <m/>
    <x v="2"/>
    <n v="95"/>
    <m/>
    <n v="1"/>
    <m/>
    <m/>
  </r>
  <r>
    <x v="2"/>
    <x v="24"/>
    <x v="23"/>
    <x v="23"/>
    <m/>
    <m/>
    <m/>
    <m/>
    <m/>
    <m/>
    <x v="2"/>
    <n v="100"/>
    <m/>
    <n v="1"/>
    <m/>
    <m/>
  </r>
  <r>
    <x v="2"/>
    <x v="7"/>
    <x v="7"/>
    <x v="7"/>
    <m/>
    <m/>
    <m/>
    <m/>
    <m/>
    <m/>
    <x v="2"/>
    <n v="75"/>
    <m/>
    <n v="1"/>
    <m/>
    <m/>
  </r>
  <r>
    <x v="2"/>
    <x v="28"/>
    <x v="27"/>
    <x v="27"/>
    <m/>
    <m/>
    <m/>
    <m/>
    <m/>
    <m/>
    <x v="2"/>
    <n v="85"/>
    <m/>
    <n v="1"/>
    <m/>
    <m/>
  </r>
  <r>
    <x v="2"/>
    <x v="22"/>
    <x v="21"/>
    <x v="8"/>
    <m/>
    <m/>
    <m/>
    <m/>
    <m/>
    <m/>
    <x v="2"/>
    <n v="70"/>
    <m/>
    <n v="1"/>
    <m/>
    <m/>
  </r>
  <r>
    <x v="3"/>
    <x v="9"/>
    <x v="9"/>
    <x v="9"/>
    <m/>
    <m/>
    <m/>
    <m/>
    <m/>
    <m/>
    <x v="2"/>
    <n v="100"/>
    <n v="160000"/>
    <n v="1"/>
    <m/>
    <m/>
  </r>
  <r>
    <x v="3"/>
    <x v="6"/>
    <x v="6"/>
    <x v="6"/>
    <m/>
    <m/>
    <m/>
    <m/>
    <m/>
    <m/>
    <x v="2"/>
    <n v="100"/>
    <n v="160000"/>
    <n v="1"/>
    <m/>
    <m/>
  </r>
  <r>
    <x v="3"/>
    <x v="4"/>
    <x v="4"/>
    <x v="4"/>
    <m/>
    <m/>
    <m/>
    <m/>
    <m/>
    <m/>
    <x v="2"/>
    <n v="95"/>
    <n v="110000"/>
    <n v="1"/>
    <m/>
    <m/>
  </r>
  <r>
    <x v="3"/>
    <x v="20"/>
    <x v="19"/>
    <x v="20"/>
    <m/>
    <m/>
    <m/>
    <m/>
    <m/>
    <m/>
    <x v="2"/>
    <n v="50"/>
    <m/>
    <n v="1"/>
    <m/>
    <m/>
  </r>
  <r>
    <x v="3"/>
    <x v="3"/>
    <x v="3"/>
    <x v="3"/>
    <m/>
    <m/>
    <m/>
    <m/>
    <m/>
    <m/>
    <x v="2"/>
    <n v="70"/>
    <m/>
    <n v="1"/>
    <m/>
    <m/>
  </r>
  <r>
    <x v="3"/>
    <x v="25"/>
    <x v="24"/>
    <x v="24"/>
    <m/>
    <m/>
    <m/>
    <m/>
    <m/>
    <m/>
    <x v="2"/>
    <n v="65"/>
    <m/>
    <n v="1"/>
    <m/>
    <m/>
  </r>
  <r>
    <x v="3"/>
    <x v="5"/>
    <x v="5"/>
    <x v="5"/>
    <m/>
    <m/>
    <m/>
    <m/>
    <m/>
    <m/>
    <x v="0"/>
    <n v="60"/>
    <m/>
    <n v="1"/>
    <m/>
    <m/>
  </r>
  <r>
    <x v="3"/>
    <x v="17"/>
    <x v="17"/>
    <x v="17"/>
    <m/>
    <m/>
    <m/>
    <m/>
    <m/>
    <m/>
    <x v="2"/>
    <n v="50"/>
    <m/>
    <n v="1"/>
    <m/>
    <m/>
  </r>
  <r>
    <x v="3"/>
    <x v="11"/>
    <x v="11"/>
    <x v="11"/>
    <m/>
    <m/>
    <m/>
    <m/>
    <m/>
    <m/>
    <x v="2"/>
    <n v="80"/>
    <m/>
    <n v="1"/>
    <m/>
    <m/>
  </r>
  <r>
    <x v="3"/>
    <x v="16"/>
    <x v="16"/>
    <x v="16"/>
    <m/>
    <m/>
    <m/>
    <m/>
    <m/>
    <m/>
    <x v="2"/>
    <n v="50"/>
    <m/>
    <n v="1"/>
    <m/>
    <m/>
  </r>
  <r>
    <x v="3"/>
    <x v="27"/>
    <x v="26"/>
    <x v="26"/>
    <m/>
    <m/>
    <m/>
    <m/>
    <m/>
    <m/>
    <x v="2"/>
    <n v="80"/>
    <m/>
    <n v="1"/>
    <m/>
    <m/>
  </r>
  <r>
    <x v="3"/>
    <x v="33"/>
    <x v="32"/>
    <x v="32"/>
    <m/>
    <m/>
    <m/>
    <m/>
    <m/>
    <m/>
    <x v="2"/>
    <n v="75"/>
    <m/>
    <n v="1"/>
    <m/>
    <m/>
  </r>
  <r>
    <x v="3"/>
    <x v="10"/>
    <x v="10"/>
    <x v="10"/>
    <m/>
    <m/>
    <m/>
    <m/>
    <m/>
    <m/>
    <x v="5"/>
    <n v="90"/>
    <m/>
    <n v="1"/>
    <m/>
    <m/>
  </r>
  <r>
    <x v="3"/>
    <x v="30"/>
    <x v="29"/>
    <x v="29"/>
    <m/>
    <m/>
    <m/>
    <m/>
    <m/>
    <m/>
    <x v="2"/>
    <n v="80"/>
    <m/>
    <n v="1"/>
    <m/>
    <m/>
  </r>
  <r>
    <x v="3"/>
    <x v="43"/>
    <x v="42"/>
    <x v="40"/>
    <m/>
    <m/>
    <m/>
    <m/>
    <m/>
    <n v="69"/>
    <x v="2"/>
    <n v="100"/>
    <n v="160000"/>
    <n v="1"/>
    <m/>
    <m/>
  </r>
  <r>
    <x v="3"/>
    <x v="0"/>
    <x v="0"/>
    <x v="0"/>
    <m/>
    <m/>
    <m/>
    <m/>
    <m/>
    <m/>
    <x v="2"/>
    <n v="50"/>
    <m/>
    <n v="1"/>
    <m/>
    <n v="180000"/>
  </r>
  <r>
    <x v="3"/>
    <x v="24"/>
    <x v="23"/>
    <x v="23"/>
    <m/>
    <m/>
    <m/>
    <m/>
    <m/>
    <m/>
    <x v="2"/>
    <n v="70"/>
    <m/>
    <n v="1"/>
    <m/>
    <m/>
  </r>
  <r>
    <x v="3"/>
    <x v="23"/>
    <x v="22"/>
    <x v="22"/>
    <m/>
    <m/>
    <m/>
    <m/>
    <m/>
    <m/>
    <x v="5"/>
    <n v="95"/>
    <n v="110000"/>
    <n v="1"/>
    <m/>
    <m/>
  </r>
  <r>
    <x v="3"/>
    <x v="29"/>
    <x v="28"/>
    <x v="28"/>
    <m/>
    <m/>
    <m/>
    <m/>
    <m/>
    <m/>
    <x v="2"/>
    <n v="85"/>
    <m/>
    <n v="1"/>
    <m/>
    <m/>
  </r>
  <r>
    <x v="3"/>
    <x v="1"/>
    <x v="1"/>
    <x v="1"/>
    <m/>
    <m/>
    <m/>
    <m/>
    <m/>
    <m/>
    <x v="2"/>
    <n v="90"/>
    <m/>
    <n v="1"/>
    <m/>
    <m/>
  </r>
  <r>
    <x v="4"/>
    <x v="7"/>
    <x v="7"/>
    <x v="7"/>
    <m/>
    <m/>
    <n v="10"/>
    <m/>
    <m/>
    <n v="75"/>
    <x v="2"/>
    <n v="70"/>
    <m/>
    <n v="1"/>
    <m/>
    <m/>
  </r>
  <r>
    <x v="4"/>
    <x v="9"/>
    <x v="9"/>
    <x v="9"/>
    <m/>
    <m/>
    <n v="12"/>
    <m/>
    <m/>
    <n v="70"/>
    <x v="2"/>
    <n v="90"/>
    <n v="140000"/>
    <n v="1"/>
    <m/>
    <m/>
  </r>
  <r>
    <x v="4"/>
    <x v="4"/>
    <x v="4"/>
    <x v="4"/>
    <m/>
    <m/>
    <n v="12"/>
    <m/>
    <m/>
    <n v="71"/>
    <x v="2"/>
    <n v="85"/>
    <n v="120000"/>
    <n v="1"/>
    <m/>
    <m/>
  </r>
  <r>
    <x v="4"/>
    <x v="18"/>
    <x v="18"/>
    <x v="18"/>
    <m/>
    <m/>
    <n v="12"/>
    <m/>
    <m/>
    <n v="73"/>
    <x v="2"/>
    <n v="80"/>
    <n v="100000"/>
    <n v="1"/>
    <m/>
    <m/>
  </r>
  <r>
    <x v="4"/>
    <x v="11"/>
    <x v="11"/>
    <x v="11"/>
    <m/>
    <m/>
    <n v="15"/>
    <m/>
    <m/>
    <n v="76"/>
    <x v="2"/>
    <n v="65"/>
    <m/>
    <n v="1"/>
    <m/>
    <m/>
  </r>
  <r>
    <x v="4"/>
    <x v="22"/>
    <x v="21"/>
    <x v="8"/>
    <m/>
    <m/>
    <n v="18"/>
    <m/>
    <m/>
    <n v="82"/>
    <x v="2"/>
    <n v="45"/>
    <m/>
    <n v="1"/>
    <m/>
    <m/>
  </r>
  <r>
    <x v="4"/>
    <x v="29"/>
    <x v="28"/>
    <x v="28"/>
    <m/>
    <m/>
    <n v="18"/>
    <m/>
    <m/>
    <n v="81"/>
    <x v="2"/>
    <n v="50"/>
    <m/>
    <n v="1"/>
    <m/>
    <m/>
  </r>
  <r>
    <x v="4"/>
    <x v="16"/>
    <x v="16"/>
    <x v="16"/>
    <m/>
    <m/>
    <n v="19"/>
    <m/>
    <m/>
    <n v="67"/>
    <x v="2"/>
    <n v="100"/>
    <n v="200000"/>
    <n v="1"/>
    <m/>
    <m/>
  </r>
  <r>
    <x v="4"/>
    <x v="21"/>
    <x v="20"/>
    <x v="21"/>
    <m/>
    <m/>
    <n v="20"/>
    <m/>
    <m/>
    <n v="76"/>
    <x v="5"/>
    <n v="65"/>
    <m/>
    <n v="1"/>
    <m/>
    <m/>
  </r>
  <r>
    <x v="4"/>
    <x v="6"/>
    <x v="6"/>
    <x v="6"/>
    <m/>
    <m/>
    <n v="21"/>
    <m/>
    <m/>
    <n v="79"/>
    <x v="2"/>
    <n v="55"/>
    <m/>
    <n v="1"/>
    <m/>
    <m/>
  </r>
  <r>
    <x v="4"/>
    <x v="27"/>
    <x v="26"/>
    <x v="26"/>
    <m/>
    <m/>
    <n v="24"/>
    <m/>
    <m/>
    <n v="76"/>
    <x v="2"/>
    <n v="65"/>
    <m/>
    <n v="1"/>
    <m/>
    <m/>
  </r>
  <r>
    <x v="4"/>
    <x v="22"/>
    <x v="21"/>
    <x v="8"/>
    <m/>
    <m/>
    <n v="24"/>
    <m/>
    <m/>
    <n v="74"/>
    <x v="2"/>
    <n v="75"/>
    <m/>
    <n v="1"/>
    <m/>
    <m/>
  </r>
  <r>
    <x v="4"/>
    <x v="2"/>
    <x v="2"/>
    <x v="2"/>
    <m/>
    <m/>
    <n v="12"/>
    <m/>
    <m/>
    <n v="76"/>
    <x v="5"/>
    <n v="65"/>
    <m/>
    <n v="1"/>
    <m/>
    <m/>
  </r>
  <r>
    <x v="4"/>
    <x v="10"/>
    <x v="10"/>
    <x v="10"/>
    <m/>
    <m/>
    <n v="13"/>
    <m/>
    <m/>
    <n v="78"/>
    <x v="2"/>
    <n v="60"/>
    <m/>
    <n v="1"/>
    <m/>
    <m/>
  </r>
  <r>
    <x v="4"/>
    <x v="0"/>
    <x v="0"/>
    <x v="0"/>
    <m/>
    <m/>
    <n v="14"/>
    <m/>
    <m/>
    <n v="82"/>
    <x v="2"/>
    <n v="45"/>
    <m/>
    <n v="1"/>
    <m/>
    <n v="100000"/>
  </r>
  <r>
    <x v="4"/>
    <x v="3"/>
    <x v="3"/>
    <x v="3"/>
    <m/>
    <m/>
    <n v="16"/>
    <m/>
    <m/>
    <n v="81"/>
    <x v="2"/>
    <n v="50"/>
    <m/>
    <n v="1"/>
    <m/>
    <m/>
  </r>
  <r>
    <x v="4"/>
    <x v="1"/>
    <x v="1"/>
    <x v="1"/>
    <m/>
    <m/>
    <n v="24"/>
    <m/>
    <m/>
    <n v="79"/>
    <x v="2"/>
    <n v="55"/>
    <m/>
    <n v="1"/>
    <m/>
    <m/>
  </r>
  <r>
    <x v="4"/>
    <x v="5"/>
    <x v="5"/>
    <x v="5"/>
    <m/>
    <m/>
    <n v="24"/>
    <m/>
    <m/>
    <n v="76"/>
    <x v="2"/>
    <n v="65"/>
    <m/>
    <n v="1"/>
    <m/>
    <m/>
  </r>
  <r>
    <x v="4"/>
    <x v="15"/>
    <x v="15"/>
    <x v="15"/>
    <m/>
    <m/>
    <n v="27"/>
    <m/>
    <m/>
    <n v="79"/>
    <x v="2"/>
    <n v="55"/>
    <m/>
    <n v="1"/>
    <m/>
    <m/>
  </r>
  <r>
    <x v="4"/>
    <x v="17"/>
    <x v="17"/>
    <x v="17"/>
    <m/>
    <m/>
    <n v="29"/>
    <m/>
    <m/>
    <n v="68"/>
    <x v="2"/>
    <n v="95"/>
    <n v="180000"/>
    <n v="1"/>
    <m/>
    <m/>
  </r>
  <r>
    <x v="5"/>
    <x v="3"/>
    <x v="3"/>
    <x v="3"/>
    <n v="14.9"/>
    <s v="Azul"/>
    <n v="16"/>
    <m/>
    <n v="95"/>
    <n v="79"/>
    <x v="2"/>
    <n v="65"/>
    <m/>
    <n v="1"/>
    <m/>
    <m/>
  </r>
  <r>
    <x v="5"/>
    <x v="0"/>
    <x v="0"/>
    <x v="0"/>
    <n v="13.8"/>
    <s v="Azul"/>
    <n v="15"/>
    <m/>
    <n v="99"/>
    <n v="84"/>
    <x v="5"/>
    <n v="55"/>
    <m/>
    <n v="1"/>
    <m/>
    <m/>
  </r>
  <r>
    <x v="5"/>
    <x v="22"/>
    <x v="21"/>
    <x v="8"/>
    <n v="17.600000000000001"/>
    <s v="Blanca"/>
    <n v="18"/>
    <m/>
    <n v="87"/>
    <n v="69"/>
    <x v="2"/>
    <n v="100"/>
    <n v="200000"/>
    <n v="1"/>
    <m/>
    <m/>
  </r>
  <r>
    <x v="5"/>
    <x v="10"/>
    <x v="10"/>
    <x v="10"/>
    <n v="13"/>
    <s v="Azul"/>
    <n v="14"/>
    <m/>
    <n v="93"/>
    <n v="79"/>
    <x v="2"/>
    <n v="65"/>
    <m/>
    <n v="1"/>
    <m/>
    <n v="140000"/>
  </r>
  <r>
    <x v="5"/>
    <x v="6"/>
    <x v="6"/>
    <x v="6"/>
    <n v="22.3"/>
    <s v="Blanca"/>
    <n v="20"/>
    <m/>
    <n v="95"/>
    <n v="75"/>
    <x v="2"/>
    <n v="80"/>
    <m/>
    <n v="1"/>
    <m/>
    <m/>
  </r>
  <r>
    <x v="5"/>
    <x v="1"/>
    <x v="1"/>
    <x v="1"/>
    <n v="22.7"/>
    <s v="Blanca"/>
    <n v="24"/>
    <m/>
    <n v="98"/>
    <n v="74"/>
    <x v="5"/>
    <n v="85"/>
    <n v="50000"/>
    <n v="1"/>
    <m/>
    <m/>
  </r>
  <r>
    <x v="5"/>
    <x v="11"/>
    <x v="11"/>
    <x v="11"/>
    <n v="15.6"/>
    <s v="Blanca"/>
    <n v="15"/>
    <m/>
    <n v="92"/>
    <n v="77"/>
    <x v="2"/>
    <n v="75"/>
    <m/>
    <n v="1"/>
    <m/>
    <m/>
  </r>
  <r>
    <x v="5"/>
    <x v="15"/>
    <x v="15"/>
    <x v="15"/>
    <n v="26"/>
    <s v="Blanca"/>
    <n v="28"/>
    <m/>
    <n v="108"/>
    <n v="80"/>
    <x v="5"/>
    <n v="60"/>
    <m/>
    <n v="1"/>
    <m/>
    <m/>
  </r>
  <r>
    <x v="5"/>
    <x v="23"/>
    <x v="22"/>
    <x v="22"/>
    <n v="13.3"/>
    <s v="Azul"/>
    <n v="14"/>
    <m/>
    <n v="98"/>
    <n v="84"/>
    <x v="5"/>
    <n v="55"/>
    <m/>
    <n v="1"/>
    <m/>
    <m/>
  </r>
  <r>
    <x v="5"/>
    <x v="4"/>
    <x v="4"/>
    <x v="4"/>
    <n v="11.4"/>
    <s v="Azul"/>
    <n v="12"/>
    <m/>
    <n v="85"/>
    <n v="73"/>
    <x v="2"/>
    <n v="90"/>
    <n v="120000"/>
    <n v="1"/>
    <m/>
    <m/>
  </r>
  <r>
    <x v="5"/>
    <x v="16"/>
    <x v="16"/>
    <x v="16"/>
    <n v="21.6"/>
    <s v="Blanca"/>
    <n v="18"/>
    <m/>
    <n v="106"/>
    <n v="88"/>
    <x v="2"/>
    <n v="50"/>
    <m/>
    <n v="1"/>
    <m/>
    <m/>
  </r>
  <r>
    <x v="5"/>
    <x v="19"/>
    <x v="10"/>
    <x v="19"/>
    <n v="9.8000000000000007"/>
    <s v="Azul"/>
    <n v="10"/>
    <m/>
    <n v="88"/>
    <n v="78"/>
    <x v="2"/>
    <n v="70"/>
    <m/>
    <n v="1"/>
    <m/>
    <m/>
  </r>
  <r>
    <x v="5"/>
    <x v="7"/>
    <x v="7"/>
    <x v="7"/>
    <n v="9"/>
    <s v="Azul"/>
    <n v="10"/>
    <m/>
    <n v="90"/>
    <n v="80"/>
    <x v="2"/>
    <n v="60"/>
    <m/>
    <n v="1"/>
    <m/>
    <m/>
  </r>
  <r>
    <x v="5"/>
    <x v="5"/>
    <x v="5"/>
    <x v="5"/>
    <n v="23.3"/>
    <s v="Blanca"/>
    <n v="24"/>
    <m/>
    <n v="113"/>
    <n v="89"/>
    <x v="2"/>
    <n v="45"/>
    <m/>
    <n v="1"/>
    <m/>
    <m/>
  </r>
  <r>
    <x v="5"/>
    <x v="51"/>
    <x v="49"/>
    <x v="47"/>
    <n v="29.8"/>
    <s v="Blanca"/>
    <n v="32"/>
    <m/>
    <n v="103"/>
    <n v="71"/>
    <x v="2"/>
    <n v="95"/>
    <n v="140000"/>
    <n v="1"/>
    <m/>
    <m/>
  </r>
  <r>
    <x v="5"/>
    <x v="18"/>
    <x v="18"/>
    <x v="18"/>
    <n v="12.1"/>
    <s v="Azul"/>
    <n v="12"/>
    <m/>
    <n v="86"/>
    <n v="74"/>
    <x v="5"/>
    <n v="85"/>
    <n v="50000"/>
    <n v="1"/>
    <m/>
    <m/>
  </r>
  <r>
    <x v="5"/>
    <x v="21"/>
    <x v="20"/>
    <x v="21"/>
    <n v="20.7"/>
    <s v="Blanca"/>
    <n v="20"/>
    <m/>
    <n v="89"/>
    <n v="69"/>
    <x v="2"/>
    <n v="100"/>
    <n v="200000"/>
    <n v="1"/>
    <m/>
    <m/>
  </r>
  <r>
    <x v="5"/>
    <x v="17"/>
    <x v="17"/>
    <x v="17"/>
    <n v="27.1"/>
    <s v="Blanca"/>
    <n v="28"/>
    <m/>
    <n v="108"/>
    <n v="80"/>
    <x v="2"/>
    <n v="60"/>
    <m/>
    <n v="1"/>
    <m/>
    <m/>
  </r>
  <r>
    <x v="5"/>
    <x v="27"/>
    <x v="26"/>
    <x v="26"/>
    <n v="23.6"/>
    <s v="Blanca"/>
    <n v="24"/>
    <m/>
    <n v="99"/>
    <n v="75"/>
    <x v="2"/>
    <n v="80"/>
    <m/>
    <n v="1"/>
    <m/>
    <m/>
  </r>
  <r>
    <x v="5"/>
    <x v="20"/>
    <x v="19"/>
    <x v="20"/>
    <n v="18"/>
    <s v="Blanca"/>
    <n v="18"/>
    <m/>
    <n v="106"/>
    <n v="88"/>
    <x v="2"/>
    <n v="50"/>
    <m/>
    <n v="1"/>
    <m/>
    <m/>
  </r>
  <r>
    <x v="6"/>
    <x v="3"/>
    <x v="3"/>
    <x v="3"/>
    <n v="15.1"/>
    <s v="Azules - 5924"/>
    <n v="16"/>
    <m/>
    <n v="88"/>
    <n v="72"/>
    <x v="2"/>
    <n v="75"/>
    <m/>
    <n v="1"/>
    <m/>
    <m/>
  </r>
  <r>
    <x v="6"/>
    <x v="22"/>
    <x v="21"/>
    <x v="8"/>
    <n v="17.899999999999999"/>
    <s v="Azules - 5924"/>
    <n v="20"/>
    <m/>
    <n v="96"/>
    <n v="78"/>
    <x v="2"/>
    <n v="50"/>
    <m/>
    <n v="1"/>
    <m/>
    <m/>
  </r>
  <r>
    <x v="6"/>
    <x v="16"/>
    <x v="16"/>
    <x v="16"/>
    <n v="18.7"/>
    <s v="Blancas - 5710"/>
    <n v="18"/>
    <m/>
    <n v="91"/>
    <n v="73"/>
    <x v="2"/>
    <n v="70"/>
    <m/>
    <n v="1"/>
    <m/>
    <m/>
  </r>
  <r>
    <x v="6"/>
    <x v="7"/>
    <x v="7"/>
    <x v="7"/>
    <n v="10.1"/>
    <s v="Azules - 5924"/>
    <n v="10"/>
    <m/>
    <n v="90"/>
    <n v="80"/>
    <x v="2"/>
    <n v="45"/>
    <m/>
    <n v="1"/>
    <m/>
    <m/>
  </r>
  <r>
    <x v="6"/>
    <x v="11"/>
    <x v="11"/>
    <x v="11"/>
    <n v="15.7"/>
    <s v="Azules - 5924"/>
    <n v="17"/>
    <m/>
    <n v="83"/>
    <n v="68"/>
    <x v="2"/>
    <n v="90"/>
    <n v="140000"/>
    <n v="1"/>
    <m/>
    <m/>
  </r>
  <r>
    <x v="6"/>
    <x v="0"/>
    <x v="0"/>
    <x v="0"/>
    <n v="15.2"/>
    <s v="Azules - 5924"/>
    <n v="16"/>
    <m/>
    <n v="104"/>
    <n v="88"/>
    <x v="5"/>
    <n v="30"/>
    <m/>
    <n v="1"/>
    <m/>
    <n v="180000"/>
  </r>
  <r>
    <x v="6"/>
    <x v="9"/>
    <x v="9"/>
    <x v="9"/>
    <n v="10.9"/>
    <s v="Azules - 5924"/>
    <n v="11"/>
    <m/>
    <n v="77"/>
    <n v="66"/>
    <x v="2"/>
    <n v="95"/>
    <n v="180000"/>
    <n v="1"/>
    <m/>
    <m/>
  </r>
  <r>
    <x v="6"/>
    <x v="1"/>
    <x v="1"/>
    <x v="1"/>
    <n v="23.3"/>
    <s v="Blancas - 5710"/>
    <n v="24"/>
    <m/>
    <n v="98"/>
    <n v="74"/>
    <x v="5"/>
    <n v="65"/>
    <m/>
    <n v="1"/>
    <m/>
    <m/>
  </r>
  <r>
    <x v="6"/>
    <x v="18"/>
    <x v="18"/>
    <x v="18"/>
    <n v="11.8"/>
    <s v="Azules - 5924"/>
    <n v="12"/>
    <m/>
    <n v="88"/>
    <n v="76"/>
    <x v="5"/>
    <n v="55"/>
    <m/>
    <n v="1"/>
    <m/>
    <m/>
  </r>
  <r>
    <x v="6"/>
    <x v="17"/>
    <x v="17"/>
    <x v="17"/>
    <n v="27.2"/>
    <s v="Blancas - 5710"/>
    <n v="28"/>
    <m/>
    <n v="110"/>
    <n v="82"/>
    <x v="2"/>
    <n v="35"/>
    <m/>
    <n v="1"/>
    <m/>
    <m/>
  </r>
  <r>
    <x v="6"/>
    <x v="8"/>
    <x v="8"/>
    <x v="8"/>
    <n v="23.3"/>
    <s v="Blancas - 5710"/>
    <n v="24"/>
    <m/>
    <n v="102"/>
    <n v="78"/>
    <x v="2"/>
    <n v="50"/>
    <m/>
    <n v="1"/>
    <m/>
    <m/>
  </r>
  <r>
    <x v="6"/>
    <x v="20"/>
    <x v="19"/>
    <x v="20"/>
    <n v="18"/>
    <s v="Blancas - 5710"/>
    <n v="18"/>
    <m/>
    <n v="92"/>
    <n v="74"/>
    <x v="2"/>
    <n v="65"/>
    <m/>
    <n v="1"/>
    <m/>
    <m/>
  </r>
  <r>
    <x v="6"/>
    <x v="14"/>
    <x v="14"/>
    <x v="14"/>
    <n v="16.7"/>
    <s v="Azules - 5924"/>
    <n v="18"/>
    <m/>
    <n v="89"/>
    <n v="71"/>
    <x v="2"/>
    <n v="80"/>
    <n v="80000"/>
    <n v="1"/>
    <m/>
    <m/>
  </r>
  <r>
    <x v="6"/>
    <x v="2"/>
    <x v="2"/>
    <x v="2"/>
    <n v="11.6"/>
    <s v="Azules - 5924"/>
    <n v="12"/>
    <m/>
    <n v="88"/>
    <n v="76"/>
    <x v="2"/>
    <n v="55"/>
    <m/>
    <n v="1"/>
    <m/>
    <m/>
  </r>
  <r>
    <x v="6"/>
    <x v="4"/>
    <x v="4"/>
    <x v="4"/>
    <n v="11.4"/>
    <s v="Azules - 5924"/>
    <n v="12"/>
    <m/>
    <n v="81"/>
    <n v="69"/>
    <x v="5"/>
    <n v="85"/>
    <n v="100000"/>
    <n v="1"/>
    <m/>
    <m/>
  </r>
  <r>
    <x v="6"/>
    <x v="21"/>
    <x v="20"/>
    <x v="21"/>
    <n v="19.5"/>
    <s v="Blancas - 5710"/>
    <n v="19"/>
    <m/>
    <n v="107"/>
    <n v="88"/>
    <x v="2"/>
    <n v="30"/>
    <m/>
    <n v="1"/>
    <m/>
    <m/>
  </r>
  <r>
    <x v="6"/>
    <x v="27"/>
    <x v="26"/>
    <x v="26"/>
    <n v="23.6"/>
    <s v="Blancas - 5710"/>
    <n v="24"/>
    <m/>
    <n v="105"/>
    <n v="81"/>
    <x v="2"/>
    <n v="40"/>
    <m/>
    <n v="1"/>
    <m/>
    <m/>
  </r>
  <r>
    <x v="6"/>
    <x v="24"/>
    <x v="23"/>
    <x v="23"/>
    <n v="9.1999999999999993"/>
    <s v="Azules - 5924"/>
    <n v="9"/>
    <m/>
    <n v="85"/>
    <n v="76"/>
    <x v="2"/>
    <n v="55"/>
    <m/>
    <n v="1"/>
    <m/>
    <m/>
  </r>
  <r>
    <x v="6"/>
    <x v="28"/>
    <x v="27"/>
    <x v="27"/>
    <n v="14.1"/>
    <s v="Azules - 5924"/>
    <n v="15"/>
    <m/>
    <n v="90"/>
    <n v="75"/>
    <x v="5"/>
    <n v="60"/>
    <m/>
    <n v="1"/>
    <m/>
    <m/>
  </r>
  <r>
    <x v="6"/>
    <x v="10"/>
    <x v="10"/>
    <x v="10"/>
    <n v="13.3"/>
    <s v="Azules - 5924"/>
    <n v="14"/>
    <m/>
    <n v="79"/>
    <n v="65"/>
    <x v="5"/>
    <n v="100"/>
    <n v="220000"/>
    <n v="1"/>
    <m/>
    <m/>
  </r>
  <r>
    <x v="7"/>
    <x v="9"/>
    <x v="9"/>
    <x v="9"/>
    <n v="10.4"/>
    <s v="Azules - 5924"/>
    <n v="10"/>
    <m/>
    <n v="82"/>
    <n v="72"/>
    <x v="2"/>
    <n v="90"/>
    <n v="50000"/>
    <n v="1"/>
    <m/>
    <m/>
  </r>
  <r>
    <x v="7"/>
    <x v="10"/>
    <x v="10"/>
    <x v="10"/>
    <n v="12.8"/>
    <s v="Azules - 5924"/>
    <n v="13"/>
    <m/>
    <n v="93"/>
    <n v="80"/>
    <x v="2"/>
    <n v="55"/>
    <m/>
    <n v="1"/>
    <m/>
    <m/>
  </r>
  <r>
    <x v="7"/>
    <x v="1"/>
    <x v="1"/>
    <x v="1"/>
    <n v="23.1"/>
    <s v="Blancas - 5710"/>
    <n v="23"/>
    <m/>
    <n v="98"/>
    <n v="75"/>
    <x v="2"/>
    <n v="80"/>
    <m/>
    <n v="1"/>
    <m/>
    <m/>
  </r>
  <r>
    <x v="7"/>
    <x v="16"/>
    <x v="16"/>
    <x v="16"/>
    <n v="18.7"/>
    <s v="Blancas - 5710"/>
    <n v="18"/>
    <m/>
    <n v="92"/>
    <n v="74"/>
    <x v="2"/>
    <n v="85"/>
    <m/>
    <n v="1"/>
    <m/>
    <m/>
  </r>
  <r>
    <x v="7"/>
    <x v="6"/>
    <x v="6"/>
    <x v="6"/>
    <n v="22.3"/>
    <s v="Blanca"/>
    <n v="20"/>
    <m/>
    <n v="97"/>
    <n v="77"/>
    <x v="2"/>
    <n v="70"/>
    <m/>
    <n v="1"/>
    <m/>
    <m/>
  </r>
  <r>
    <x v="7"/>
    <x v="4"/>
    <x v="4"/>
    <x v="4"/>
    <n v="11.4"/>
    <s v="Azules - 5924"/>
    <n v="12"/>
    <m/>
    <n v="81"/>
    <n v="69"/>
    <x v="5"/>
    <n v="100"/>
    <n v="160000"/>
    <n v="1"/>
    <m/>
    <m/>
  </r>
  <r>
    <x v="7"/>
    <x v="22"/>
    <x v="21"/>
    <x v="8"/>
    <n v="17.899999999999999"/>
    <s v="Blancas - 5710"/>
    <n v="18"/>
    <m/>
    <n v="94"/>
    <n v="76"/>
    <x v="2"/>
    <n v="75"/>
    <m/>
    <n v="1"/>
    <m/>
    <m/>
  </r>
  <r>
    <x v="7"/>
    <x v="0"/>
    <x v="0"/>
    <x v="0"/>
    <n v="16.600000000000001"/>
    <s v="Azules - 5924"/>
    <n v="18"/>
    <m/>
    <n v="96"/>
    <n v="78"/>
    <x v="5"/>
    <n v="65"/>
    <m/>
    <n v="1"/>
    <m/>
    <n v="140000"/>
  </r>
  <r>
    <x v="7"/>
    <x v="15"/>
    <x v="15"/>
    <x v="15"/>
    <n v="26"/>
    <s v="Blanca"/>
    <n v="28"/>
    <m/>
    <n v="104"/>
    <n v="76"/>
    <x v="2"/>
    <n v="75"/>
    <m/>
    <n v="1"/>
    <m/>
    <m/>
  </r>
  <r>
    <x v="7"/>
    <x v="2"/>
    <x v="2"/>
    <x v="2"/>
    <n v="11.6"/>
    <s v="Azules - 5924"/>
    <n v="12"/>
    <m/>
    <n v="84"/>
    <n v="72"/>
    <x v="2"/>
    <n v="90"/>
    <n v="50000"/>
    <n v="1"/>
    <m/>
    <m/>
  </r>
  <r>
    <x v="7"/>
    <x v="23"/>
    <x v="22"/>
    <x v="22"/>
    <n v="13.3"/>
    <s v="Azul"/>
    <n v="14"/>
    <m/>
    <n v="93"/>
    <n v="79"/>
    <x v="2"/>
    <n v="60"/>
    <m/>
    <n v="1"/>
    <m/>
    <m/>
  </r>
  <r>
    <x v="7"/>
    <x v="14"/>
    <x v="14"/>
    <x v="14"/>
    <n v="16.7"/>
    <s v="Azules - 5924"/>
    <n v="18"/>
    <m/>
    <n v="88"/>
    <n v="70"/>
    <x v="2"/>
    <n v="95"/>
    <n v="140000"/>
    <n v="1"/>
    <m/>
    <m/>
  </r>
  <r>
    <x v="8"/>
    <x v="22"/>
    <x v="21"/>
    <x v="8"/>
    <s v="18,6"/>
    <s v="Blancas - 5710"/>
    <s v="18"/>
    <m/>
    <n v="96"/>
    <n v="78"/>
    <x v="2"/>
    <n v="70"/>
    <m/>
    <n v="1"/>
    <m/>
    <m/>
  </r>
  <r>
    <x v="8"/>
    <x v="10"/>
    <x v="10"/>
    <x v="10"/>
    <s v="12,8"/>
    <s v="Azules - 5924"/>
    <s v="13"/>
    <m/>
    <n v="82"/>
    <n v="69"/>
    <x v="5"/>
    <n v="95"/>
    <n v="170000"/>
    <n v="1"/>
    <m/>
    <n v="170000"/>
  </r>
  <r>
    <x v="8"/>
    <x v="0"/>
    <x v="0"/>
    <x v="0"/>
    <s v="17,3"/>
    <s v="Azules - 5924"/>
    <s v="19"/>
    <m/>
    <n v="95"/>
    <n v="76"/>
    <x v="5"/>
    <n v="80"/>
    <m/>
    <n v="1"/>
    <m/>
    <m/>
  </r>
  <r>
    <x v="8"/>
    <x v="1"/>
    <x v="1"/>
    <x v="1"/>
    <s v="23,1"/>
    <s v="Blancas - 5710"/>
    <s v="23"/>
    <m/>
    <n v="117"/>
    <n v="94"/>
    <x v="5"/>
    <n v="40"/>
    <m/>
    <n v="1"/>
    <m/>
    <m/>
  </r>
  <r>
    <x v="8"/>
    <x v="11"/>
    <x v="11"/>
    <x v="11"/>
    <n v="16.100000000000001"/>
    <s v="Blancas - 5710"/>
    <n v="16"/>
    <m/>
    <n v="97"/>
    <n v="81"/>
    <x v="2"/>
    <n v="55"/>
    <m/>
    <n v="1"/>
    <m/>
    <m/>
  </r>
  <r>
    <x v="8"/>
    <x v="4"/>
    <x v="4"/>
    <x v="4"/>
    <s v="11,5"/>
    <s v="Azules - 5924"/>
    <s v="12"/>
    <m/>
    <n v="80"/>
    <n v="68"/>
    <x v="5"/>
    <n v="100"/>
    <n v="190000"/>
    <n v="1"/>
    <m/>
    <m/>
  </r>
  <r>
    <x v="8"/>
    <x v="16"/>
    <x v="16"/>
    <x v="16"/>
    <s v="18,8"/>
    <s v="Blancas - 5710"/>
    <s v="19"/>
    <m/>
    <n v="94"/>
    <n v="75"/>
    <x v="2"/>
    <n v="85"/>
    <n v="35000"/>
    <n v="1"/>
    <m/>
    <m/>
  </r>
  <r>
    <x v="8"/>
    <x v="15"/>
    <x v="15"/>
    <x v="15"/>
    <s v="27,3"/>
    <s v="Blancas - 5710"/>
    <s v="28"/>
    <m/>
    <n v="113"/>
    <n v="85"/>
    <x v="2"/>
    <n v="50"/>
    <m/>
    <n v="1"/>
    <m/>
    <m/>
  </r>
  <r>
    <x v="8"/>
    <x v="2"/>
    <x v="2"/>
    <x v="2"/>
    <s v="11,7"/>
    <s v="Azules - 5924"/>
    <s v="12"/>
    <m/>
    <n v="92"/>
    <n v="80"/>
    <x v="2"/>
    <n v="60"/>
    <m/>
    <n v="1"/>
    <m/>
    <m/>
  </r>
  <r>
    <x v="8"/>
    <x v="29"/>
    <x v="28"/>
    <x v="28"/>
    <s v="17,9"/>
    <s v="Azules - 5924"/>
    <s v="20"/>
    <m/>
    <n v="105"/>
    <n v="85"/>
    <x v="2"/>
    <n v="50"/>
    <m/>
    <n v="1"/>
    <m/>
    <m/>
  </r>
  <r>
    <x v="8"/>
    <x v="19"/>
    <x v="10"/>
    <x v="19"/>
    <s v="9,9"/>
    <s v="Azules - 5924"/>
    <s v="10"/>
    <m/>
    <n v="89"/>
    <n v="79"/>
    <x v="2"/>
    <n v="65"/>
    <m/>
    <n v="1"/>
    <m/>
    <m/>
  </r>
  <r>
    <x v="8"/>
    <x v="25"/>
    <x v="24"/>
    <x v="24"/>
    <s v="11,9"/>
    <s v="Azules - 5924"/>
    <s v="12"/>
    <m/>
    <n v="91"/>
    <n v="79"/>
    <x v="5"/>
    <n v="65"/>
    <m/>
    <n v="1"/>
    <m/>
    <m/>
  </r>
  <r>
    <x v="8"/>
    <x v="24"/>
    <x v="23"/>
    <x v="23"/>
    <s v="8,3"/>
    <s v="Azules - 5924"/>
    <s v="8"/>
    <m/>
    <n v="85"/>
    <n v="77"/>
    <x v="5"/>
    <n v="75"/>
    <m/>
    <n v="1"/>
    <m/>
    <m/>
  </r>
  <r>
    <x v="8"/>
    <x v="6"/>
    <x v="6"/>
    <x v="6"/>
    <s v="19,8"/>
    <s v="Blancas - 5710"/>
    <s v="20"/>
    <m/>
    <n v="94"/>
    <n v="74"/>
    <x v="2"/>
    <n v="90"/>
    <n v="120000"/>
    <n v="1"/>
    <m/>
    <m/>
  </r>
  <r>
    <x v="8"/>
    <x v="7"/>
    <x v="7"/>
    <x v="7"/>
    <s v="10,5"/>
    <s v="Azules - 5924"/>
    <s v="11"/>
    <m/>
    <n v="89"/>
    <n v="78"/>
    <x v="2"/>
    <n v="70"/>
    <m/>
    <n v="1"/>
    <m/>
    <m/>
  </r>
  <r>
    <x v="8"/>
    <x v="26"/>
    <x v="25"/>
    <x v="25"/>
    <s v="17,6"/>
    <s v="Azules - 5924"/>
    <s v="19"/>
    <m/>
    <n v="93"/>
    <n v="74"/>
    <x v="2"/>
    <n v="90"/>
    <n v="120000"/>
    <n v="1"/>
    <m/>
    <m/>
  </r>
  <r>
    <x v="8"/>
    <x v="20"/>
    <x v="19"/>
    <x v="20"/>
    <s v="18,3"/>
    <s v="Blancas - 5710"/>
    <s v="18"/>
    <m/>
    <n v="105"/>
    <n v="87"/>
    <x v="2"/>
    <n v="45"/>
    <m/>
    <n v="1"/>
    <m/>
    <m/>
  </r>
  <r>
    <x v="8"/>
    <x v="5"/>
    <x v="5"/>
    <x v="5"/>
    <s v="23,9"/>
    <s v="Blancas - 5710"/>
    <s v="24"/>
    <m/>
    <n v="100"/>
    <n v="76"/>
    <x v="2"/>
    <n v="80"/>
    <m/>
    <n v="1"/>
    <m/>
    <m/>
  </r>
  <r>
    <x v="8"/>
    <x v="21"/>
    <x v="20"/>
    <x v="21"/>
    <n v="19.5"/>
    <s v="Blancas - 5710"/>
    <n v="19"/>
    <m/>
    <n v="94"/>
    <n v="75"/>
    <x v="2"/>
    <n v="85"/>
    <n v="35000"/>
    <n v="1"/>
    <m/>
    <m/>
  </r>
  <r>
    <x v="9"/>
    <x v="9"/>
    <x v="9"/>
    <x v="9"/>
    <n v="10.199999999999999"/>
    <s v="Azules - 5924"/>
    <n v="10"/>
    <m/>
    <n v="86"/>
    <n v="76"/>
    <x v="2"/>
    <n v="75"/>
    <m/>
    <n v="1"/>
    <m/>
    <m/>
  </r>
  <r>
    <x v="9"/>
    <x v="11"/>
    <x v="11"/>
    <x v="11"/>
    <n v="16.399999999999999"/>
    <s v="Blancas - 5710"/>
    <n v="16"/>
    <m/>
    <n v="91"/>
    <n v="75"/>
    <x v="5"/>
    <n v="80"/>
    <m/>
    <n v="1"/>
    <m/>
    <m/>
  </r>
  <r>
    <x v="9"/>
    <x v="22"/>
    <x v="21"/>
    <x v="8"/>
    <n v="19"/>
    <s v="Blancas - 5710"/>
    <n v="19"/>
    <m/>
    <n v="88"/>
    <n v="69"/>
    <x v="2"/>
    <n v="95"/>
    <n v="140000"/>
    <n v="1"/>
    <m/>
    <m/>
  </r>
  <r>
    <x v="9"/>
    <x v="6"/>
    <x v="6"/>
    <x v="6"/>
    <n v="19.8"/>
    <s v="Blancas - 5710"/>
    <n v="20"/>
    <m/>
    <n v="94"/>
    <n v="74"/>
    <x v="2"/>
    <n v="85"/>
    <m/>
    <n v="1"/>
    <m/>
    <m/>
  </r>
  <r>
    <x v="9"/>
    <x v="16"/>
    <x v="16"/>
    <x v="16"/>
    <n v="18.8"/>
    <s v="Blancas - 5710"/>
    <n v="19"/>
    <m/>
    <n v="98"/>
    <n v="79"/>
    <x v="2"/>
    <n v="65"/>
    <m/>
    <n v="1"/>
    <m/>
    <m/>
  </r>
  <r>
    <x v="9"/>
    <x v="18"/>
    <x v="18"/>
    <x v="18"/>
    <n v="11.8"/>
    <s v="Azules - 5924"/>
    <n v="12"/>
    <m/>
    <n v="102"/>
    <n v="90"/>
    <x v="2"/>
    <n v="50"/>
    <m/>
    <n v="1"/>
    <m/>
    <m/>
  </r>
  <r>
    <x v="9"/>
    <x v="24"/>
    <x v="23"/>
    <x v="23"/>
    <n v="8.6999999999999993"/>
    <s v="Azules - 5924"/>
    <n v="8"/>
    <m/>
    <n v="89"/>
    <n v="81"/>
    <x v="5"/>
    <n v="60"/>
    <m/>
    <n v="1"/>
    <m/>
    <m/>
  </r>
  <r>
    <x v="9"/>
    <x v="19"/>
    <x v="10"/>
    <x v="19"/>
    <n v="10.199999999999999"/>
    <s v="Azules - 5924"/>
    <n v="10"/>
    <m/>
    <n v="78"/>
    <n v="68"/>
    <x v="2"/>
    <n v="100"/>
    <n v="190000"/>
    <n v="1"/>
    <m/>
    <m/>
  </r>
  <r>
    <x v="9"/>
    <x v="7"/>
    <x v="7"/>
    <x v="7"/>
    <n v="10.5"/>
    <s v="Azules - 5924"/>
    <n v="11"/>
    <m/>
    <n v="88"/>
    <n v="77"/>
    <x v="2"/>
    <n v="70"/>
    <m/>
    <n v="1"/>
    <m/>
    <m/>
  </r>
  <r>
    <x v="9"/>
    <x v="8"/>
    <x v="8"/>
    <x v="8"/>
    <n v="24.4"/>
    <s v="Blancas - 5710"/>
    <n v="25"/>
    <m/>
    <n v="107"/>
    <n v="82"/>
    <x v="2"/>
    <n v="55"/>
    <m/>
    <n v="1"/>
    <m/>
    <m/>
  </r>
  <r>
    <x v="9"/>
    <x v="10"/>
    <x v="10"/>
    <x v="10"/>
    <n v="12.4"/>
    <s v="Azules - 5924"/>
    <n v="13"/>
    <m/>
    <n v="92"/>
    <n v="79"/>
    <x v="5"/>
    <n v="65"/>
    <m/>
    <n v="1"/>
    <m/>
    <n v="110000"/>
  </r>
  <r>
    <x v="9"/>
    <x v="2"/>
    <x v="2"/>
    <x v="2"/>
    <n v="11.7"/>
    <s v="Azules - 5924"/>
    <n v="12"/>
    <m/>
    <n v="82"/>
    <n v="70"/>
    <x v="2"/>
    <n v="90"/>
    <n v="100000"/>
    <n v="1"/>
    <m/>
    <m/>
  </r>
  <r>
    <x v="10"/>
    <x v="9"/>
    <x v="9"/>
    <x v="9"/>
    <s v="9,8"/>
    <s v="Azules - 5924"/>
    <n v="10"/>
    <m/>
    <n v="86"/>
    <n v="76"/>
    <x v="2"/>
    <n v="120"/>
    <m/>
    <n v="1"/>
    <m/>
    <n v="140000"/>
  </r>
  <r>
    <x v="10"/>
    <x v="4"/>
    <x v="4"/>
    <x v="4"/>
    <s v="11,3"/>
    <s v="Azules - 5924"/>
    <s v="11"/>
    <m/>
    <n v="91"/>
    <n v="80"/>
    <x v="2"/>
    <n v="100"/>
    <m/>
    <n v="1"/>
    <m/>
    <m/>
  </r>
  <r>
    <x v="10"/>
    <x v="25"/>
    <x v="24"/>
    <x v="24"/>
    <s v="11,9"/>
    <s v="Azules - 5924"/>
    <s v="12"/>
    <m/>
    <n v="84"/>
    <n v="72"/>
    <x v="2"/>
    <n v="170"/>
    <n v="100000"/>
    <n v="1"/>
    <m/>
    <m/>
  </r>
  <r>
    <x v="10"/>
    <x v="18"/>
    <x v="18"/>
    <x v="18"/>
    <n v="11.8"/>
    <s v="Azules - 5924"/>
    <n v="12"/>
    <m/>
    <n v="88"/>
    <n v="76"/>
    <x v="2"/>
    <n v="120"/>
    <m/>
    <n v="1"/>
    <m/>
    <m/>
  </r>
  <r>
    <x v="10"/>
    <x v="11"/>
    <x v="11"/>
    <x v="11"/>
    <s v="16,2"/>
    <s v="Blancas - 5710"/>
    <n v="16"/>
    <m/>
    <n v="91"/>
    <n v="75"/>
    <x v="2"/>
    <n v="130"/>
    <m/>
    <n v="1"/>
    <m/>
    <m/>
  </r>
  <r>
    <x v="10"/>
    <x v="0"/>
    <x v="0"/>
    <x v="0"/>
    <s v="17,8"/>
    <s v="Azules - 5924"/>
    <s v="19"/>
    <m/>
    <n v="100"/>
    <n v="81"/>
    <x v="2"/>
    <n v="90"/>
    <m/>
    <n v="1"/>
    <m/>
    <m/>
  </r>
  <r>
    <x v="10"/>
    <x v="26"/>
    <x v="25"/>
    <x v="25"/>
    <s v="17,6"/>
    <s v="Azules - 5924"/>
    <s v="19"/>
    <m/>
    <n v="88"/>
    <n v="69"/>
    <x v="2"/>
    <n v="180"/>
    <n v="140000"/>
    <n v="1"/>
    <m/>
    <m/>
  </r>
  <r>
    <x v="10"/>
    <x v="21"/>
    <x v="20"/>
    <x v="21"/>
    <n v="19.5"/>
    <s v="Blancas - 5710"/>
    <n v="19"/>
    <m/>
    <n v="107"/>
    <n v="88"/>
    <x v="2"/>
    <n v="80"/>
    <m/>
    <n v="1"/>
    <m/>
    <m/>
  </r>
  <r>
    <x v="10"/>
    <x v="1"/>
    <x v="1"/>
    <x v="1"/>
    <s v="23,1"/>
    <s v="Blancas - 5710"/>
    <s v="23"/>
    <m/>
    <n v="96"/>
    <n v="73"/>
    <x v="2"/>
    <n v="160"/>
    <m/>
    <n v="1"/>
    <m/>
    <m/>
  </r>
  <r>
    <x v="10"/>
    <x v="8"/>
    <x v="8"/>
    <x v="8"/>
    <n v="24.4"/>
    <s v="Blancas - 5710"/>
    <n v="25"/>
    <m/>
    <n v="114"/>
    <n v="89"/>
    <x v="2"/>
    <n v="70"/>
    <m/>
    <n v="1"/>
    <m/>
    <m/>
  </r>
  <r>
    <x v="10"/>
    <x v="13"/>
    <x v="13"/>
    <x v="13"/>
    <s v="24,8"/>
    <s v="Blancas - 5710"/>
    <s v="25"/>
    <m/>
    <n v="105"/>
    <n v="80"/>
    <x v="2"/>
    <n v="100"/>
    <m/>
    <n v="1"/>
    <m/>
    <m/>
  </r>
  <r>
    <x v="10"/>
    <x v="15"/>
    <x v="15"/>
    <x v="15"/>
    <n v="27"/>
    <s v="Blancas - 5710"/>
    <s v="28"/>
    <m/>
    <n v="94"/>
    <n v="66"/>
    <x v="2"/>
    <n v="200"/>
    <n v="200000"/>
    <n v="1"/>
    <m/>
    <m/>
  </r>
  <r>
    <x v="10"/>
    <x v="3"/>
    <x v="3"/>
    <x v="3"/>
    <s v="15,4"/>
    <s v="Blancas - 5710"/>
    <n v="15"/>
    <m/>
    <n v="93"/>
    <n v="78"/>
    <x v="2"/>
    <n v="110"/>
    <m/>
    <n v="1"/>
    <m/>
    <m/>
  </r>
  <r>
    <x v="10"/>
    <x v="16"/>
    <x v="16"/>
    <x v="16"/>
    <s v="18,7"/>
    <s v="Blancas - 5710"/>
    <s v="18"/>
    <m/>
    <n v="92"/>
    <n v="74"/>
    <x v="2"/>
    <n v="140"/>
    <m/>
    <n v="1"/>
    <m/>
    <m/>
  </r>
  <r>
    <x v="10"/>
    <x v="6"/>
    <x v="6"/>
    <x v="6"/>
    <s v="19,2"/>
    <s v="Blancas - 5710"/>
    <s v="19"/>
    <m/>
    <n v="86"/>
    <n v="67"/>
    <x v="2"/>
    <n v="190"/>
    <n v="160000"/>
    <n v="1"/>
    <m/>
    <m/>
  </r>
  <r>
    <x v="10"/>
    <x v="20"/>
    <x v="19"/>
    <x v="20"/>
    <s v="18,3"/>
    <s v="Blancas - 5710"/>
    <s v="18"/>
    <m/>
    <n v="91"/>
    <n v="73"/>
    <x v="2"/>
    <n v="150"/>
    <m/>
    <n v="1"/>
    <m/>
    <m/>
  </r>
  <r>
    <x v="11"/>
    <x v="1"/>
    <x v="1"/>
    <x v="1"/>
    <s v="23,1"/>
    <s v="Blancas - 5710"/>
    <s v="23"/>
    <m/>
    <n v="101"/>
    <n v="78"/>
    <x v="2"/>
    <n v="110"/>
    <m/>
    <n v="1"/>
    <m/>
    <m/>
  </r>
  <r>
    <x v="11"/>
    <x v="11"/>
    <x v="11"/>
    <x v="11"/>
    <s v="16,2"/>
    <s v="Blancas - 5710"/>
    <n v="16"/>
    <m/>
    <n v="84"/>
    <n v="68"/>
    <x v="2"/>
    <n v="180"/>
    <n v="120000"/>
    <n v="1"/>
    <m/>
    <m/>
  </r>
  <r>
    <x v="11"/>
    <x v="9"/>
    <x v="9"/>
    <x v="9"/>
    <s v="9,8"/>
    <s v="Azules - 5924"/>
    <n v="10"/>
    <m/>
    <n v="84"/>
    <n v="74"/>
    <x v="2"/>
    <n v="150"/>
    <m/>
    <n v="1"/>
    <m/>
    <n v="140000"/>
  </r>
  <r>
    <x v="11"/>
    <x v="18"/>
    <x v="18"/>
    <x v="18"/>
    <n v="11.8"/>
    <s v="Azules - 5924"/>
    <n v="12"/>
    <m/>
    <n v="84"/>
    <n v="72"/>
    <x v="2"/>
    <n v="160"/>
    <m/>
    <n v="1"/>
    <m/>
    <m/>
  </r>
  <r>
    <x v="11"/>
    <x v="3"/>
    <x v="3"/>
    <x v="3"/>
    <s v="15,4"/>
    <s v="Blancas - 5710"/>
    <n v="15"/>
    <m/>
    <n v="85"/>
    <n v="70"/>
    <x v="2"/>
    <n v="170"/>
    <n v="50000"/>
    <n v="1"/>
    <m/>
    <m/>
  </r>
  <r>
    <x v="11"/>
    <x v="4"/>
    <x v="4"/>
    <x v="4"/>
    <s v="11,3"/>
    <s v="Azules - 5924"/>
    <s v="11"/>
    <m/>
    <n v="87"/>
    <n v="76"/>
    <x v="2"/>
    <n v="130"/>
    <m/>
    <n v="1"/>
    <m/>
    <m/>
  </r>
  <r>
    <x v="11"/>
    <x v="13"/>
    <x v="13"/>
    <x v="13"/>
    <s v="24,8"/>
    <s v="Blancas - 5710"/>
    <s v="25"/>
    <m/>
    <n v="97"/>
    <n v="72"/>
    <x v="2"/>
    <n v="160"/>
    <m/>
    <n v="1"/>
    <m/>
    <m/>
  </r>
  <r>
    <x v="11"/>
    <x v="8"/>
    <x v="8"/>
    <x v="8"/>
    <n v="24.4"/>
    <s v="Blancas - 5710"/>
    <n v="25"/>
    <m/>
    <n v="102"/>
    <n v="77"/>
    <x v="2"/>
    <n v="120"/>
    <m/>
    <n v="1"/>
    <m/>
    <m/>
  </r>
  <r>
    <x v="11"/>
    <x v="15"/>
    <x v="15"/>
    <x v="15"/>
    <n v="27"/>
    <s v="Blancas - 5710"/>
    <s v="28"/>
    <m/>
    <n v="105"/>
    <n v="77"/>
    <x v="2"/>
    <n v="120"/>
    <m/>
    <n v="1"/>
    <m/>
    <m/>
  </r>
  <r>
    <x v="11"/>
    <x v="6"/>
    <x v="6"/>
    <x v="6"/>
    <s v="19,2"/>
    <s v="Blancas - 5710"/>
    <s v="19"/>
    <m/>
    <n v="91"/>
    <n v="72"/>
    <x v="2"/>
    <n v="160"/>
    <m/>
    <n v="1"/>
    <m/>
    <m/>
  </r>
  <r>
    <x v="11"/>
    <x v="26"/>
    <x v="25"/>
    <x v="25"/>
    <s v="17,6"/>
    <s v="Azules - 5924"/>
    <s v="19"/>
    <m/>
    <n v="89"/>
    <n v="70"/>
    <x v="2"/>
    <n v="170"/>
    <n v="50000"/>
    <n v="1"/>
    <m/>
    <m/>
  </r>
  <r>
    <x v="11"/>
    <x v="25"/>
    <x v="24"/>
    <x v="24"/>
    <s v="11,9"/>
    <s v="Azules - 5924"/>
    <s v="12"/>
    <m/>
    <n v="79"/>
    <n v="67"/>
    <x v="2"/>
    <n v="190"/>
    <n v="160000"/>
    <n v="1"/>
    <m/>
    <m/>
  </r>
  <r>
    <x v="11"/>
    <x v="2"/>
    <x v="2"/>
    <x v="2"/>
    <s v="11,4"/>
    <s v="Azules - 5924"/>
    <s v="12"/>
    <m/>
    <n v="87"/>
    <n v="75"/>
    <x v="2"/>
    <n v="140"/>
    <m/>
    <n v="1"/>
    <m/>
    <m/>
  </r>
  <r>
    <x v="11"/>
    <x v="19"/>
    <x v="10"/>
    <x v="19"/>
    <s v="10,2"/>
    <s v="Azules - 5924"/>
    <s v="10"/>
    <m/>
    <n v="82"/>
    <n v="72"/>
    <x v="2"/>
    <n v="160"/>
    <m/>
    <n v="1"/>
    <m/>
    <m/>
  </r>
  <r>
    <x v="11"/>
    <x v="7"/>
    <x v="7"/>
    <x v="7"/>
    <s v="9,9"/>
    <s v="Azules - 5924"/>
    <s v="10"/>
    <m/>
    <n v="74"/>
    <n v="64"/>
    <x v="2"/>
    <n v="200"/>
    <n v="200000"/>
    <n v="1"/>
    <m/>
    <m/>
  </r>
  <r>
    <x v="11"/>
    <x v="10"/>
    <x v="10"/>
    <x v="10"/>
    <s v="13"/>
    <s v="Azules - 5924"/>
    <s v="14"/>
    <m/>
    <n v="95"/>
    <n v="81"/>
    <x v="2"/>
    <n v="100"/>
    <m/>
    <n v="1"/>
    <m/>
    <m/>
  </r>
  <r>
    <x v="12"/>
    <x v="15"/>
    <x v="15"/>
    <x v="15"/>
    <n v="27"/>
    <s v="Blancas - 5710"/>
    <s v="28"/>
    <m/>
    <m/>
    <n v="-28"/>
    <x v="2"/>
    <m/>
    <m/>
    <n v="1"/>
    <m/>
    <m/>
  </r>
  <r>
    <x v="12"/>
    <x v="0"/>
    <x v="0"/>
    <x v="0"/>
    <s v="17,8"/>
    <s v="Azules - 5924"/>
    <s v="19"/>
    <m/>
    <m/>
    <n v="-19"/>
    <x v="2"/>
    <m/>
    <m/>
    <n v="1"/>
    <m/>
    <m/>
  </r>
  <r>
    <x v="12"/>
    <x v="4"/>
    <x v="4"/>
    <x v="4"/>
    <s v="11,3"/>
    <s v="Azules - 5924"/>
    <s v="11"/>
    <m/>
    <m/>
    <n v="-11"/>
    <x v="2"/>
    <m/>
    <m/>
    <n v="1"/>
    <m/>
    <m/>
  </r>
  <r>
    <x v="12"/>
    <x v="6"/>
    <x v="6"/>
    <x v="6"/>
    <s v="19,2"/>
    <s v="Blancas - 5710"/>
    <s v="19"/>
    <m/>
    <m/>
    <n v="-19"/>
    <x v="2"/>
    <m/>
    <m/>
    <n v="1"/>
    <m/>
    <m/>
  </r>
  <r>
    <x v="12"/>
    <x v="11"/>
    <x v="11"/>
    <x v="11"/>
    <s v="16,2"/>
    <s v="Blancas - 5710"/>
    <n v="16"/>
    <m/>
    <m/>
    <n v="-16"/>
    <x v="2"/>
    <m/>
    <m/>
    <n v="1"/>
    <m/>
    <m/>
  </r>
  <r>
    <x v="12"/>
    <x v="16"/>
    <x v="16"/>
    <x v="16"/>
    <s v="18,7"/>
    <s v="Blancas - 5710"/>
    <s v="18"/>
    <m/>
    <m/>
    <n v="-18"/>
    <x v="2"/>
    <m/>
    <m/>
    <n v="1"/>
    <m/>
    <m/>
  </r>
  <r>
    <x v="12"/>
    <x v="3"/>
    <x v="3"/>
    <x v="3"/>
    <s v="15,4"/>
    <s v="Blancas - 5710"/>
    <n v="15"/>
    <m/>
    <m/>
    <n v="-15"/>
    <x v="2"/>
    <m/>
    <m/>
    <n v="1"/>
    <m/>
    <m/>
  </r>
  <r>
    <x v="12"/>
    <x v="9"/>
    <x v="9"/>
    <x v="9"/>
    <s v="9,8"/>
    <s v="Azules - 5924"/>
    <n v="10"/>
    <m/>
    <m/>
    <n v="-10"/>
    <x v="2"/>
    <m/>
    <m/>
    <n v="1"/>
    <m/>
    <m/>
  </r>
  <r>
    <x v="12"/>
    <x v="24"/>
    <x v="23"/>
    <x v="23"/>
    <s v="8,3"/>
    <s v="Azules - 5924"/>
    <s v="8"/>
    <m/>
    <m/>
    <n v="-8"/>
    <x v="2"/>
    <m/>
    <m/>
    <n v="1"/>
    <m/>
    <m/>
  </r>
  <r>
    <x v="12"/>
    <x v="19"/>
    <x v="10"/>
    <x v="19"/>
    <s v="10,2"/>
    <s v="Azules - 5924"/>
    <s v="10"/>
    <m/>
    <m/>
    <n v="-10"/>
    <x v="2"/>
    <m/>
    <m/>
    <n v="1"/>
    <m/>
    <m/>
  </r>
  <r>
    <x v="12"/>
    <x v="7"/>
    <x v="7"/>
    <x v="7"/>
    <s v="9,9"/>
    <s v="Azules - 5924"/>
    <s v="10"/>
    <m/>
    <m/>
    <n v="-10"/>
    <x v="2"/>
    <m/>
    <m/>
    <n v="1"/>
    <m/>
    <m/>
  </r>
  <r>
    <x v="12"/>
    <x v="10"/>
    <x v="10"/>
    <x v="10"/>
    <s v="13"/>
    <s v="Azules - 5924"/>
    <s v="14"/>
    <m/>
    <m/>
    <n v="-14"/>
    <x v="2"/>
    <m/>
    <m/>
    <n v="1"/>
    <m/>
    <m/>
  </r>
  <r>
    <x v="12"/>
    <x v="2"/>
    <x v="2"/>
    <x v="2"/>
    <s v="11,4"/>
    <s v="Azules - 5924"/>
    <n v="12"/>
    <m/>
    <m/>
    <n v="-12"/>
    <x v="2"/>
    <m/>
    <m/>
    <n v="1"/>
    <m/>
    <m/>
  </r>
  <r>
    <x v="12"/>
    <x v="14"/>
    <x v="14"/>
    <x v="14"/>
    <s v="17,1"/>
    <s v="Azules - 5924"/>
    <s v="19"/>
    <m/>
    <m/>
    <n v="-19"/>
    <x v="2"/>
    <m/>
    <m/>
    <n v="1"/>
    <m/>
    <m/>
  </r>
  <r>
    <x v="12"/>
    <x v="13"/>
    <x v="13"/>
    <x v="13"/>
    <s v="24,8"/>
    <s v="Blancas - 5710"/>
    <s v="25"/>
    <m/>
    <m/>
    <n v="-25"/>
    <x v="2"/>
    <m/>
    <m/>
    <n v="1"/>
    <m/>
    <m/>
  </r>
  <r>
    <x v="12"/>
    <x v="52"/>
    <x v="50"/>
    <x v="48"/>
    <n v="8.1999999999999993"/>
    <s v="Azules - 5924"/>
    <n v="8"/>
    <m/>
    <m/>
    <n v="-8"/>
    <x v="2"/>
    <m/>
    <m/>
    <n v="1"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83317-4F98-4298-B25C-72B3FCF5B592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F3:K20" firstHeaderRow="1" firstDataRow="1" firstDataCol="5" rowPageCount="1" colPageCount="1"/>
  <pivotFields count="16">
    <pivotField axis="axisPage" compact="0" outline="0" multipleItemSelectionAllowed="1" showAll="0" defaultSubtotal="0">
      <items count="1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x="11"/>
        <item h="1" x="12"/>
      </items>
    </pivotField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sortType="descending" defaultSubtotal="0">
      <items count="38">
        <item x="0"/>
        <item x="22"/>
        <item x="25"/>
        <item x="18"/>
        <item x="17"/>
        <item x="24"/>
        <item x="23"/>
        <item x="14"/>
        <item x="7"/>
        <item x="8"/>
        <item x="16"/>
        <item x="10"/>
        <item x="12"/>
        <item x="15"/>
        <item x="6"/>
        <item x="2"/>
        <item x="11"/>
        <item x="5"/>
        <item x="19"/>
        <item x="4"/>
        <item x="3"/>
        <item x="1"/>
        <item x="13"/>
        <item x="9"/>
        <item x="20"/>
        <item x="21"/>
        <item x="26"/>
        <item x="34"/>
        <item x="33"/>
        <item x="29"/>
        <item x="36"/>
        <item x="35"/>
        <item x="32"/>
        <item x="30"/>
        <item x="31"/>
        <item x="28"/>
        <item x="37"/>
        <item x="27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5">
    <field x="1"/>
    <field x="2"/>
    <field x="3"/>
    <field x="8"/>
    <field x="9"/>
  </rowFields>
  <rowItems count="17">
    <i>
      <x v="41"/>
      <x v="39"/>
      <x v="37"/>
      <x v="37"/>
      <x v="26"/>
    </i>
    <i>
      <x v="22"/>
      <x v="21"/>
      <x v="21"/>
      <x v="26"/>
      <x v="23"/>
    </i>
    <i>
      <x v="8"/>
      <x v="2"/>
      <x v="15"/>
      <x v="30"/>
      <x v="22"/>
    </i>
    <i>
      <x v="17"/>
      <x v="14"/>
      <x v="12"/>
      <x v="15"/>
      <x v="20"/>
    </i>
    <i>
      <x v="27"/>
      <x v="26"/>
      <x v="25"/>
      <x v="8"/>
      <x v="20"/>
    </i>
    <i>
      <x v="28"/>
      <x v="27"/>
      <x v="26"/>
      <x v="30"/>
      <x v="18"/>
    </i>
    <i>
      <x v="43"/>
      <x v="20"/>
      <x v="28"/>
      <x v="27"/>
      <x v="18"/>
    </i>
    <i>
      <x v="29"/>
      <x v="28"/>
      <x v="27"/>
      <x v="28"/>
      <x v="18"/>
    </i>
    <i>
      <x v="16"/>
      <x v="5"/>
      <x v="4"/>
      <x v="17"/>
      <x v="18"/>
    </i>
    <i>
      <x v="6"/>
      <x/>
      <x v="2"/>
      <x v="30"/>
      <x v="16"/>
    </i>
    <i>
      <x v="5"/>
      <x v="15"/>
      <x v="14"/>
      <x v="3"/>
      <x v="15"/>
    </i>
    <i>
      <x v="15"/>
      <x v="4"/>
      <x v="6"/>
      <x v="3"/>
      <x v="14"/>
    </i>
    <i>
      <x v="10"/>
      <x v="17"/>
      <x v="13"/>
      <x v="22"/>
      <x v="13"/>
    </i>
    <i>
      <x v="11"/>
      <x v="13"/>
      <x v="18"/>
      <x v="25"/>
      <x v="13"/>
    </i>
    <i>
      <x v="14"/>
      <x v="16"/>
      <x v="5"/>
      <x v="36"/>
      <x v="12"/>
    </i>
    <i>
      <x v="21"/>
      <x v="20"/>
      <x v="20"/>
      <x v="1"/>
      <x v="9"/>
    </i>
    <i t="grand">
      <x/>
    </i>
  </rowItems>
  <colItems count="1">
    <i/>
  </colItems>
  <pageFields count="1">
    <pageField fld="0" hier="-1"/>
  </pageFields>
  <dataFields count="1">
    <dataField name="puntos Jornada" fld="11" baseField="9" baseItem="17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E9A89C-D75E-F44F-B4E6-A3F141FAA6EB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F43:I49" firstHeaderRow="1" firstDataRow="1" firstDataCol="3" rowPageCount="2" colPageCount="1"/>
  <pivotFields count="16">
    <pivotField axis="axisPage" compact="0" outline="0" multipleItemSelectionAllowed="1" showAll="0" defaultSubtotal="0">
      <items count="13">
        <item h="1" x="1"/>
        <item h="1" x="2"/>
        <item h="1" x="3"/>
        <item h="1" x="4"/>
        <item h="1" x="5"/>
        <item h="1" x="0"/>
        <item h="1" x="6"/>
        <item h="1" x="7"/>
        <item h="1" x="8"/>
        <item h="1" x="9"/>
        <item h="1" x="10"/>
        <item x="11"/>
        <item h="1" x="12"/>
      </items>
    </pivotField>
    <pivotField axis="axisRow" compact="0" outline="0" showAll="0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sortType="ascending" defaultSubtotal="0">
      <items count="49">
        <item x="28"/>
        <item x="20"/>
        <item x="48"/>
        <item x="34"/>
        <item x="23"/>
        <item x="47"/>
        <item x="9"/>
        <item x="38"/>
        <item x="10"/>
        <item x="21"/>
        <item x="6"/>
        <item x="1"/>
        <item x="4"/>
        <item x="37"/>
        <item x="31"/>
        <item x="36"/>
        <item x="46"/>
        <item x="5"/>
        <item x="26"/>
        <item x="17"/>
        <item x="43"/>
        <item x="14"/>
        <item x="0"/>
        <item x="25"/>
        <item x="8"/>
        <item x="2"/>
        <item x="22"/>
        <item x="18"/>
        <item x="44"/>
        <item x="3"/>
        <item x="33"/>
        <item x="32"/>
        <item x="42"/>
        <item x="39"/>
        <item x="29"/>
        <item x="11"/>
        <item x="40"/>
        <item x="19"/>
        <item x="27"/>
        <item x="13"/>
        <item x="7"/>
        <item x="35"/>
        <item x="16"/>
        <item x="15"/>
        <item x="41"/>
        <item x="30"/>
        <item x="24"/>
        <item x="12"/>
        <item x="45"/>
      </items>
    </pivotField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49">
        <item m="1" x="36"/>
        <item m="1" x="41"/>
        <item x="26"/>
        <item x="35"/>
        <item x="31"/>
        <item x="23"/>
        <item m="1" x="43"/>
        <item m="1" x="38"/>
        <item x="14"/>
        <item x="27"/>
        <item m="1" x="37"/>
        <item x="12"/>
        <item m="1" x="40"/>
        <item x="29"/>
        <item x="15"/>
        <item m="1" x="46"/>
        <item m="1" x="45"/>
        <item x="25"/>
        <item x="30"/>
        <item x="11"/>
        <item x="24"/>
        <item m="1" x="39"/>
        <item x="28"/>
        <item m="1" x="48"/>
        <item x="34"/>
        <item x="10"/>
        <item m="1" x="47"/>
        <item m="1" x="42"/>
        <item x="32"/>
        <item m="1" x="44"/>
        <item x="4"/>
        <item x="3"/>
        <item x="1"/>
        <item x="21"/>
        <item x="7"/>
        <item x="5"/>
        <item x="22"/>
        <item x="20"/>
        <item x="2"/>
        <item x="17"/>
        <item x="16"/>
        <item x="19"/>
        <item x="13"/>
        <item x="8"/>
        <item x="18"/>
        <item x="9"/>
        <item x="0"/>
        <item h="1" x="6"/>
        <item x="33"/>
      </items>
    </pivotField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6">
    <i>
      <x v="8"/>
      <x v="2"/>
      <x v="35"/>
    </i>
    <i>
      <x v="17"/>
      <x v="14"/>
      <x v="23"/>
    </i>
    <i>
      <x v="22"/>
      <x v="21"/>
      <x v="46"/>
    </i>
    <i>
      <x v="27"/>
      <x v="26"/>
      <x v="29"/>
    </i>
    <i>
      <x v="41"/>
      <x v="39"/>
      <x v="40"/>
    </i>
    <i t="grand">
      <x/>
    </i>
  </rowItems>
  <colItems count="1">
    <i/>
  </colItems>
  <pageFields count="2">
    <pageField fld="0" hier="-1"/>
    <pageField fld="12" hier="-1"/>
  </pageFields>
  <dataFields count="1">
    <dataField name="Valor" fld="12" baseField="3" baseItem="5" numFmtId="165"/>
  </dataFields>
  <formats count="1">
    <format dxfId="0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D656D-4390-464F-B74E-2229E244074A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M35:Q36" firstHeaderRow="1" firstDataRow="1" firstDataCol="5" rowPageCount="1" colPageCount="1"/>
  <pivotFields count="16">
    <pivotField axis="axisPage" compact="0" outline="0" showAll="0" defaultSubtotal="0">
      <items count="13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defaultSubtotal="0">
      <items count="49">
        <item x="20"/>
        <item x="23"/>
        <item x="9"/>
        <item x="21"/>
        <item x="6"/>
        <item x="1"/>
        <item x="4"/>
        <item x="5"/>
        <item x="17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43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Torneo" axis="axisRow" compact="0" outline="0" subtotalTop="0" showAll="0" defaultSubtotal="0">
      <items count="5">
        <item m="1" x="1"/>
        <item m="1" x="3"/>
        <item m="1" x="2"/>
        <item m="1" x="4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ubtotalTop="0" showAll="0" defaultSubtotal="0">
      <items count="20">
        <item h="1" m="1" x="8"/>
        <item h="1" m="1" x="1"/>
        <item h="1" m="1" x="2"/>
        <item h="1" m="1" x="3"/>
        <item h="1" m="1" x="4"/>
        <item h="1" m="1" x="5"/>
        <item h="1" m="1" x="6"/>
        <item h="1" m="1" x="9"/>
        <item h="1" x="0"/>
        <item m="1" x="7"/>
        <item h="1" m="1" x="10"/>
        <item h="1" m="1" x="11"/>
        <item h="1" m="1" x="12"/>
        <item h="1" m="1" x="13"/>
        <item h="1" m="1" x="14"/>
        <item h="1" m="1" x="15"/>
        <item h="1" m="1" x="17"/>
        <item h="1" m="1" x="16"/>
        <item h="1" m="1" x="18"/>
        <item h="1" m="1" x="19"/>
      </items>
    </pivotField>
    <pivotField compact="0" outline="0" multipleItemSelectionAllowed="1" showAll="0" defaultSubtotal="0"/>
  </pivotFields>
  <rowFields count="5">
    <field x="1"/>
    <field x="2"/>
    <field x="3"/>
    <field x="7"/>
    <field x="14"/>
  </rowFields>
  <rowItems count="1">
    <i t="grand">
      <x/>
    </i>
  </rowItems>
  <colItems count="1">
    <i/>
  </colItems>
  <pageFields count="1">
    <pageField fld="0" hier="-1"/>
  </pageFields>
  <formats count="2">
    <format dxfId="2">
      <pivotArea field="14" type="button" dataOnly="0" labelOnly="1" outline="0" axis="axisRow" fieldPosition="4"/>
    </format>
    <format dxfId="1">
      <pivotArea dataOnly="0" labelOnly="1" grandRow="1" outline="0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07EE8-5E98-CE46-B440-4B07F3A116A5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13:D55" firstHeaderRow="1" firstDataRow="1" firstDataCol="3" rowPageCount="1" colPageCount="1"/>
  <pivotFields count="16">
    <pivotField compact="0" outline="0" showAll="0" defaultSubtotal="0"/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49">
        <item x="23"/>
        <item m="1" x="37"/>
        <item x="29"/>
        <item x="30"/>
        <item x="34"/>
        <item x="32"/>
        <item h="1" x="6"/>
        <item x="11"/>
        <item x="15"/>
        <item m="1" x="38"/>
        <item m="1" x="39"/>
        <item m="1" x="40"/>
        <item x="12"/>
        <item m="1" x="41"/>
        <item x="10"/>
        <item x="28"/>
        <item x="14"/>
        <item m="1" x="42"/>
        <item x="25"/>
        <item m="1" x="43"/>
        <item m="1" x="44"/>
        <item m="1" x="45"/>
        <item m="1" x="46"/>
        <item x="35"/>
        <item m="1" x="47"/>
        <item m="1" x="48"/>
        <item x="0"/>
        <item x="1"/>
        <item x="2"/>
        <item x="3"/>
        <item x="4"/>
        <item x="5"/>
        <item x="7"/>
        <item x="8"/>
        <item x="9"/>
        <item x="13"/>
        <item x="16"/>
        <item x="17"/>
        <item x="18"/>
        <item x="19"/>
        <item x="20"/>
        <item x="21"/>
        <item x="22"/>
        <item x="24"/>
        <item x="26"/>
        <item x="27"/>
        <item x="31"/>
        <item h="1" m="1" x="36"/>
        <item x="33"/>
      </items>
    </pivotField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42">
    <i>
      <x v="6"/>
      <x/>
      <x v="2"/>
    </i>
    <i>
      <x v="15"/>
      <x v="4"/>
      <x v="6"/>
    </i>
    <i>
      <x v="3"/>
      <x v="1"/>
      <x v="11"/>
    </i>
    <i>
      <x v="43"/>
      <x v="20"/>
      <x v="28"/>
    </i>
    <i>
      <x v="4"/>
      <x v="11"/>
      <x v="10"/>
    </i>
    <i>
      <x v="18"/>
      <x v="18"/>
      <x v="3"/>
    </i>
    <i>
      <x v="17"/>
      <x v="14"/>
      <x v="12"/>
    </i>
    <i>
      <x v="10"/>
      <x v="17"/>
      <x v="13"/>
    </i>
    <i>
      <x v="26"/>
      <x v="25"/>
      <x v="13"/>
    </i>
    <i>
      <x v="13"/>
      <x v="12"/>
      <x v="8"/>
    </i>
    <i>
      <x v="22"/>
      <x v="21"/>
      <x v="21"/>
    </i>
    <i>
      <x v="21"/>
      <x v="20"/>
      <x v="20"/>
    </i>
    <i>
      <x v="28"/>
      <x v="27"/>
      <x v="26"/>
    </i>
    <i>
      <x v="5"/>
      <x v="15"/>
      <x v="14"/>
    </i>
    <i>
      <x v="41"/>
      <x v="39"/>
      <x v="37"/>
    </i>
    <i>
      <x v="24"/>
      <x v="23"/>
      <x v="23"/>
    </i>
    <i>
      <x v="16"/>
      <x v="5"/>
      <x v="4"/>
    </i>
    <i>
      <x v="8"/>
      <x v="2"/>
      <x v="15"/>
    </i>
    <i>
      <x v="12"/>
      <x v="6"/>
      <x v="1"/>
    </i>
    <i>
      <x v="29"/>
      <x v="28"/>
      <x v="27"/>
    </i>
    <i>
      <x v="20"/>
      <x v="19"/>
      <x v="19"/>
    </i>
    <i>
      <x/>
      <x v="8"/>
      <x v="17"/>
    </i>
    <i>
      <x v="14"/>
      <x v="16"/>
      <x v="5"/>
    </i>
    <i>
      <x v="1"/>
      <x v="10"/>
      <x v="7"/>
    </i>
    <i>
      <x v="27"/>
      <x v="26"/>
      <x v="25"/>
    </i>
    <i>
      <x v="11"/>
      <x v="13"/>
      <x v="18"/>
    </i>
    <i>
      <x v="40"/>
      <x v="49"/>
      <x v="46"/>
    </i>
    <i>
      <x v="32"/>
      <x v="31"/>
      <x v="30"/>
    </i>
    <i>
      <x v="35"/>
      <x v="34"/>
      <x v="32"/>
    </i>
    <i>
      <x v="38"/>
      <x v="37"/>
      <x v="47"/>
    </i>
    <i>
      <x v="31"/>
      <x v="30"/>
      <x v="2"/>
    </i>
    <i>
      <x v="34"/>
      <x v="33"/>
      <x v="31"/>
    </i>
    <i>
      <x v="9"/>
      <x v="7"/>
      <x/>
    </i>
    <i>
      <x v="42"/>
      <x v="40"/>
      <x v="38"/>
    </i>
    <i>
      <x v="45"/>
      <x v="43"/>
      <x v="36"/>
    </i>
    <i>
      <x v="39"/>
      <x v="38"/>
      <x v="35"/>
    </i>
    <i>
      <x v="44"/>
      <x v="42"/>
      <x v="40"/>
    </i>
    <i>
      <x v="37"/>
      <x v="36"/>
      <x v="34"/>
    </i>
    <i>
      <x v="30"/>
      <x v="29"/>
      <x v="29"/>
    </i>
    <i>
      <x v="2"/>
      <x v="9"/>
      <x v="16"/>
    </i>
    <i>
      <x v="36"/>
      <x v="35"/>
      <x v="33"/>
    </i>
    <i t="grand">
      <x/>
    </i>
  </rowItems>
  <colItems count="1">
    <i/>
  </colItems>
  <pageFields count="1">
    <pageField fld="12" hier="-1"/>
  </pageFields>
  <dataFields count="1">
    <dataField name="Suma de Premio" fld="12" baseField="0" baseItem="0" numFmtId="166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FE9BB0-C130-4DE5-9F61-F8DDAB88F801}" name="TablaDinámica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M4:P28" firstHeaderRow="1" firstDataRow="1" firstDataCol="3" rowPageCount="2" colPageCount="1"/>
  <pivotFields count="16">
    <pivotField axis="axisPage" compact="0" outline="0" multipleItemSelectionAllowed="1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sortType="ascending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7">
        <item x="5"/>
        <item h="1" x="2"/>
        <item x="4"/>
        <item x="3"/>
        <item x="0"/>
        <item x="1"/>
        <item x="6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24">
    <i>
      <x v="2"/>
      <x v="9"/>
      <x v="16"/>
    </i>
    <i>
      <x v="3"/>
      <x v="1"/>
      <x v="11"/>
    </i>
    <i>
      <x v="14"/>
      <x v="16"/>
      <x v="5"/>
    </i>
    <i>
      <x v="15"/>
      <x v="4"/>
      <x v="6"/>
    </i>
    <i>
      <x v="8"/>
      <x v="2"/>
      <x v="15"/>
    </i>
    <i>
      <x v="1"/>
      <x v="10"/>
      <x v="7"/>
    </i>
    <i>
      <x v="4"/>
      <x v="11"/>
      <x v="10"/>
    </i>
    <i>
      <x v="29"/>
      <x v="28"/>
      <x v="27"/>
    </i>
    <i>
      <x v="21"/>
      <x v="20"/>
      <x v="20"/>
    </i>
    <i>
      <x v="27"/>
      <x v="26"/>
      <x v="25"/>
    </i>
    <i>
      <x v="12"/>
      <x v="6"/>
      <x v="1"/>
    </i>
    <i>
      <x v="24"/>
      <x v="23"/>
      <x v="23"/>
    </i>
    <i>
      <x v="6"/>
      <x/>
      <x v="2"/>
    </i>
    <i>
      <x v="28"/>
      <x v="27"/>
      <x v="26"/>
    </i>
    <i>
      <x v="11"/>
      <x v="13"/>
      <x v="18"/>
    </i>
    <i>
      <x v="22"/>
      <x v="21"/>
      <x v="21"/>
    </i>
    <i>
      <x v="17"/>
      <x v="14"/>
      <x v="12"/>
    </i>
    <i>
      <x v="30"/>
      <x v="29"/>
      <x v="29"/>
    </i>
    <i>
      <x v="7"/>
      <x v="3"/>
      <x v="9"/>
    </i>
    <i>
      <x v="35"/>
      <x v="34"/>
      <x v="32"/>
    </i>
    <i>
      <x v="44"/>
      <x v="42"/>
      <x v="40"/>
    </i>
    <i>
      <x v="5"/>
      <x v="15"/>
      <x v="14"/>
    </i>
    <i>
      <x v="18"/>
      <x v="18"/>
      <x v="3"/>
    </i>
    <i t="grand">
      <x/>
    </i>
  </rowItems>
  <colItems count="1">
    <i/>
  </colItems>
  <pageFields count="2">
    <pageField fld="0" hier="-1"/>
    <pageField fld="10" hier="-1"/>
  </pageFields>
  <dataFields count="1">
    <dataField name="Tee Time_" fld="10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E9167-F122-0C48-A680-2E66060A2199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T3:X55" firstHeaderRow="0" firstDataRow="1" firstDataCol="3" rowPageCount="1" colPageCount="1"/>
  <pivotFields count="16">
    <pivotField axis="axisPage" compact="0" outline="0" multipleItemSelectionAllowed="1" showAll="0" defaultSubtotal="0">
      <items count="13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h="1" x="12"/>
      </items>
    </pivotField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h="1" x="50"/>
        <item x="7"/>
        <item x="12"/>
        <item x="19"/>
        <item x="34"/>
        <item x="40"/>
        <item x="42"/>
        <item x="44"/>
        <item x="45"/>
        <item x="46"/>
        <item x="48"/>
        <item x="49"/>
        <item h="1"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h="1" sd="0" x="51"/>
        <item h="1" x="50"/>
      </items>
    </pivotField>
    <pivotField axis="axisRow" compact="0" outline="0" showAll="0" sortType="ascending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52">
    <i>
      <x v="15"/>
      <x v="4"/>
      <x v="6"/>
    </i>
    <i>
      <x v="8"/>
      <x v="2"/>
      <x v="15"/>
    </i>
    <i>
      <x v="16"/>
      <x v="5"/>
      <x v="4"/>
    </i>
    <i>
      <x v="14"/>
      <x v="16"/>
      <x v="5"/>
    </i>
    <i>
      <x v="6"/>
      <x/>
      <x v="2"/>
    </i>
    <i>
      <x v="3"/>
      <x v="1"/>
      <x v="11"/>
    </i>
    <i>
      <x v="5"/>
      <x v="15"/>
      <x v="14"/>
    </i>
    <i>
      <x v="41"/>
      <x v="39"/>
      <x v="37"/>
    </i>
    <i>
      <x v="21"/>
      <x v="20"/>
      <x v="20"/>
    </i>
    <i>
      <x v="27"/>
      <x v="26"/>
      <x v="25"/>
    </i>
    <i>
      <x/>
      <x v="8"/>
      <x v="17"/>
    </i>
    <i>
      <x v="11"/>
      <x v="13"/>
      <x v="18"/>
    </i>
    <i>
      <x v="10"/>
      <x v="17"/>
      <x v="13"/>
    </i>
    <i>
      <x v="28"/>
      <x v="27"/>
      <x v="26"/>
    </i>
    <i>
      <x v="26"/>
      <x v="25"/>
      <x v="13"/>
    </i>
    <i>
      <x v="1"/>
      <x v="10"/>
      <x v="7"/>
    </i>
    <i>
      <x v="4"/>
      <x v="11"/>
      <x v="10"/>
    </i>
    <i>
      <x v="22"/>
      <x v="21"/>
      <x v="21"/>
    </i>
    <i>
      <x v="29"/>
      <x v="28"/>
      <x v="27"/>
    </i>
    <i>
      <x v="9"/>
      <x v="7"/>
      <x/>
    </i>
    <i>
      <x v="12"/>
      <x v="6"/>
      <x v="1"/>
    </i>
    <i>
      <x v="43"/>
      <x v="20"/>
      <x v="28"/>
    </i>
    <i>
      <x v="18"/>
      <x v="18"/>
      <x v="3"/>
    </i>
    <i>
      <x v="13"/>
      <x v="12"/>
      <x v="8"/>
    </i>
    <i>
      <x v="17"/>
      <x v="14"/>
      <x v="12"/>
    </i>
    <i>
      <x v="42"/>
      <x v="40"/>
      <x v="38"/>
    </i>
    <i>
      <x v="24"/>
      <x v="23"/>
      <x v="23"/>
    </i>
    <i>
      <x v="19"/>
      <x v="41"/>
      <x v="39"/>
    </i>
    <i>
      <x v="20"/>
      <x v="19"/>
      <x v="19"/>
    </i>
    <i>
      <x v="2"/>
      <x v="9"/>
      <x v="16"/>
    </i>
    <i>
      <x v="37"/>
      <x v="36"/>
      <x v="34"/>
    </i>
    <i>
      <x v="23"/>
      <x v="22"/>
      <x v="22"/>
    </i>
    <i>
      <x v="30"/>
      <x v="29"/>
      <x v="29"/>
    </i>
    <i>
      <x v="32"/>
      <x v="31"/>
      <x v="30"/>
    </i>
    <i>
      <x v="35"/>
      <x v="34"/>
      <x v="32"/>
    </i>
    <i>
      <x v="44"/>
      <x v="42"/>
      <x v="40"/>
    </i>
    <i>
      <x v="33"/>
      <x v="32"/>
      <x v="16"/>
    </i>
    <i>
      <x v="25"/>
      <x v="24"/>
      <x v="24"/>
    </i>
    <i>
      <x v="38"/>
      <x v="37"/>
      <x v="47"/>
    </i>
    <i>
      <x v="34"/>
      <x v="33"/>
      <x v="31"/>
    </i>
    <i>
      <x v="31"/>
      <x v="30"/>
      <x v="2"/>
    </i>
    <i>
      <x v="36"/>
      <x v="35"/>
      <x v="33"/>
    </i>
    <i>
      <x v="39"/>
      <x v="38"/>
      <x v="35"/>
    </i>
    <i>
      <x v="45"/>
      <x v="43"/>
      <x v="36"/>
    </i>
    <i>
      <x v="46"/>
      <x v="44"/>
      <x v="41"/>
    </i>
    <i>
      <x v="47"/>
      <x v="45"/>
      <x v="42"/>
    </i>
    <i>
      <x v="48"/>
      <x v="46"/>
      <x v="43"/>
    </i>
    <i>
      <x v="49"/>
      <x v="30"/>
      <x v="30"/>
    </i>
    <i>
      <x v="7"/>
      <x v="3"/>
      <x v="9"/>
    </i>
    <i>
      <x v="50"/>
      <x v="47"/>
      <x v="44"/>
    </i>
    <i>
      <x v="51"/>
      <x v="48"/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a de Puntos" fld="11" baseField="0" baseItem="0"/>
    <dataField name="Asist" fld="13" baseField="3" baseItem="13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55EF9-D169-744D-BA87-43CF22113A08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:D8" firstHeaderRow="1" firstDataRow="1" firstDataCol="3" rowPageCount="1" colPageCount="1"/>
  <pivotFields count="16">
    <pivotField compact="0" outline="0" multipleItemSelectionAllowed="1" showAll="0" defaultSubtotal="0"/>
    <pivotField axis="axisRow" compact="0" outline="0" showAll="0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sortType="descending" defaultSubtotal="0"/>
    <pivotField axis="axisPage" dataField="1" compact="0" outline="0" multipleItemSelectionAllowed="1" showAll="0" defaultSubtotal="0">
      <items count="17">
        <item m="1" x="11"/>
        <item m="1" x="12"/>
        <item h="1" x="0"/>
        <item m="1" x="13"/>
        <item m="1" x="14"/>
        <item m="1" x="8"/>
        <item m="1" x="15"/>
        <item m="1" x="16"/>
        <item m="1" x="9"/>
        <item x="2"/>
        <item m="1" x="10"/>
        <item x="3"/>
        <item x="4"/>
        <item x="1"/>
        <item x="5"/>
        <item x="6"/>
        <item x="7"/>
      </items>
    </pivotField>
  </pivotFields>
  <rowFields count="3">
    <field x="1"/>
    <field x="2"/>
    <field x="3"/>
  </rowFields>
  <rowItems count="5">
    <i>
      <x v="3"/>
      <x v="1"/>
      <x v="11"/>
    </i>
    <i>
      <x v="4"/>
      <x v="11"/>
      <x v="10"/>
    </i>
    <i>
      <x v="6"/>
      <x/>
      <x v="2"/>
    </i>
    <i>
      <x v="21"/>
      <x v="20"/>
      <x v="20"/>
    </i>
    <i t="grand">
      <x/>
    </i>
  </rowItems>
  <colItems count="1">
    <i/>
  </colItems>
  <pageFields count="1">
    <pageField fld="15" hier="-1"/>
  </pageFields>
  <dataFields count="1">
    <dataField name="Suma de Recaudo" fld="15" baseField="0" baseItem="0" numFmtId="166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7242E5-7C44-5A41-8761-6E1096A7BE9B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 fieldListSortAscending="1">
  <location ref="Z3:AD24" firstHeaderRow="0" firstDataRow="1" firstDataCol="3" rowPageCount="1" colPageCount="1"/>
  <pivotFields count="16">
    <pivotField axis="axisPage" compact="0" outline="0" multipleItemSelectionAllowed="1" showAll="0" defaultSubtotal="0">
      <items count="13">
        <item h="1" x="1"/>
        <item h="1" x="2"/>
        <item h="1" x="3"/>
        <item h="1" x="4"/>
        <item h="1" x="5"/>
        <item h="1" x="0"/>
        <item h="1" x="6"/>
        <item h="1" x="7"/>
        <item h="1" x="8"/>
        <item h="1" x="9"/>
        <item x="10"/>
        <item x="11"/>
        <item h="1" x="12"/>
      </items>
    </pivotField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sortType="descending" defaultSubtotal="0">
      <items count="49">
        <item x="28"/>
        <item x="20"/>
        <item x="34"/>
        <item x="23"/>
        <item x="47"/>
        <item x="9"/>
        <item x="38"/>
        <item x="10"/>
        <item x="21"/>
        <item x="6"/>
        <item x="1"/>
        <item x="4"/>
        <item x="37"/>
        <item x="31"/>
        <item x="36"/>
        <item x="46"/>
        <item x="5"/>
        <item x="26"/>
        <item x="17"/>
        <item x="43"/>
        <item x="14"/>
        <item x="0"/>
        <item x="25"/>
        <item x="8"/>
        <item x="2"/>
        <item x="22"/>
        <item x="18"/>
        <item x="44"/>
        <item x="3"/>
        <item x="33"/>
        <item x="32"/>
        <item x="42"/>
        <item x="39"/>
        <item x="29"/>
        <item x="11"/>
        <item x="40"/>
        <item x="19"/>
        <item x="27"/>
        <item x="13"/>
        <item x="7"/>
        <item x="35"/>
        <item x="16"/>
        <item x="15"/>
        <item x="41"/>
        <item x="30"/>
        <item x="24"/>
        <item x="12"/>
        <item x="45"/>
        <item x="4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21">
    <i>
      <x v="22"/>
      <x v="21"/>
      <x v="45"/>
    </i>
    <i>
      <x v="17"/>
      <x v="14"/>
      <x v="22"/>
    </i>
    <i>
      <x v="16"/>
      <x v="5"/>
      <x v="9"/>
    </i>
    <i>
      <x v="11"/>
      <x v="13"/>
      <x v="42"/>
    </i>
    <i>
      <x v="8"/>
      <x v="2"/>
      <x v="34"/>
    </i>
    <i>
      <x v="27"/>
      <x v="26"/>
      <x v="28"/>
    </i>
    <i>
      <x v="28"/>
      <x v="27"/>
      <x v="26"/>
    </i>
    <i>
      <x v="6"/>
      <x/>
      <x v="5"/>
    </i>
    <i>
      <x v="14"/>
      <x v="16"/>
      <x v="10"/>
    </i>
    <i>
      <x v="29"/>
      <x v="28"/>
      <x v="38"/>
    </i>
    <i>
      <x v="15"/>
      <x v="4"/>
      <x v="11"/>
    </i>
    <i>
      <x v="41"/>
      <x v="39"/>
      <x v="39"/>
    </i>
    <i>
      <x v="10"/>
      <x v="17"/>
      <x v="23"/>
    </i>
    <i>
      <x v="43"/>
      <x v="20"/>
      <x v="36"/>
    </i>
    <i>
      <x v="9"/>
      <x v="7"/>
      <x v="1"/>
    </i>
    <i>
      <x/>
      <x v="8"/>
      <x v="41"/>
    </i>
    <i>
      <x v="5"/>
      <x v="15"/>
      <x v="24"/>
    </i>
    <i>
      <x v="21"/>
      <x v="20"/>
      <x v="7"/>
    </i>
    <i>
      <x v="3"/>
      <x v="1"/>
      <x v="21"/>
    </i>
    <i>
      <x v="18"/>
      <x v="18"/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a de Asistencia" fld="13" baseField="3" baseItem="17"/>
    <dataField name="Suma de Puntos" fld="11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33C4C2-CCB3-7247-BE11-65F45434D756}" name="TablaDinámica1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:L9" firstHeaderRow="0" firstDataRow="1" firstDataCol="1"/>
  <pivotFields count="6">
    <pivotField axis="axisRow" showAll="0" sortType="ascending">
      <items count="9">
        <item x="3"/>
        <item x="1"/>
        <item x="0"/>
        <item x="6"/>
        <item x="7"/>
        <item x="5"/>
        <item h="1" x="4"/>
        <item x="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showAll="0"/>
    <pivotField showAll="0"/>
    <pivotField dataField="1" showAll="0"/>
  </pivotFields>
  <rowFields count="1">
    <field x="0"/>
  </rowFields>
  <rowItems count="8">
    <i>
      <x v="2"/>
    </i>
    <i>
      <x v="5"/>
    </i>
    <i>
      <x/>
    </i>
    <i>
      <x v="7"/>
    </i>
    <i>
      <x v="3"/>
    </i>
    <i>
      <x v="1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EMIOS" fld="5" baseField="0" baseItem="0"/>
    <dataField name="Suma de GROSS" fld="2" baseField="0" baseItem="0"/>
    <dataField name="NETO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15CDF-41CD-4DB6-A061-3A3811B48DA5}">
  <sheetPr codeName="Hoja1"/>
  <dimension ref="A1:I203"/>
  <sheetViews>
    <sheetView zoomScale="142" workbookViewId="0">
      <selection activeCell="K194" sqref="K194"/>
    </sheetView>
  </sheetViews>
  <sheetFormatPr baseColWidth="10" defaultColWidth="11.44140625" defaultRowHeight="14.4" outlineLevelCol="1" x14ac:dyDescent="0.3"/>
  <cols>
    <col min="1" max="1" width="14.44140625" bestFit="1" customWidth="1"/>
    <col min="2" max="2" width="10.77734375" bestFit="1" customWidth="1"/>
    <col min="3" max="3" width="11.6640625" bestFit="1" customWidth="1"/>
    <col min="4" max="4" width="21" bestFit="1" customWidth="1"/>
    <col min="5" max="5" width="17.33203125" bestFit="1" customWidth="1"/>
    <col min="6" max="6" width="12" style="9" bestFit="1" customWidth="1" outlineLevel="1"/>
    <col min="7" max="7" width="11.109375" bestFit="1" customWidth="1" outlineLevel="1"/>
    <col min="8" max="8" width="11" customWidth="1" outlineLevel="1"/>
    <col min="9" max="9" width="11.6640625" style="9" bestFit="1" customWidth="1"/>
  </cols>
  <sheetData>
    <row r="1" spans="1:9" ht="15.6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8" t="s">
        <v>5</v>
      </c>
      <c r="G1" s="6" t="s">
        <v>6</v>
      </c>
      <c r="H1" s="6" t="s">
        <v>7</v>
      </c>
      <c r="I1" s="6" t="s">
        <v>8</v>
      </c>
    </row>
    <row r="2" spans="1:9" ht="15.6" x14ac:dyDescent="0.3">
      <c r="A2" s="36" t="s">
        <v>9</v>
      </c>
      <c r="C2" s="1">
        <v>10</v>
      </c>
      <c r="D2" s="2" t="s">
        <v>10</v>
      </c>
      <c r="E2" s="2" t="s">
        <v>11</v>
      </c>
      <c r="F2"/>
      <c r="G2" t="str">
        <f t="shared" ref="G2:G5" si="0">+IF(F2&lt;18.8,"Azul","Blanca")</f>
        <v>Azul</v>
      </c>
      <c r="H2" t="e">
        <f>IF(G2="Rojas",VLOOKUP(F2,#REF!,3,TRUE),IF(G2="Azul",VLOOKUP(F2,#REF!,3,TRUE),VLOOKUP(F2,#REF!,3,TRUE)))</f>
        <v>#REF!</v>
      </c>
      <c r="I2" s="9">
        <f>IFERROR(VLOOKUP(C2,Palmares!#REF!,4,FALSE),0)</f>
        <v>0</v>
      </c>
    </row>
    <row r="3" spans="1:9" ht="15.6" x14ac:dyDescent="0.3">
      <c r="A3" s="37" t="s">
        <v>9</v>
      </c>
      <c r="C3" s="38">
        <v>27802</v>
      </c>
      <c r="D3" s="2" t="s">
        <v>10</v>
      </c>
      <c r="E3" s="2" t="s">
        <v>12</v>
      </c>
      <c r="F3"/>
      <c r="G3" t="str">
        <f t="shared" si="0"/>
        <v>Azul</v>
      </c>
      <c r="H3" t="e">
        <f>IF(G3="Rojas",VLOOKUP(F3,#REF!,3,TRUE),IF(G3="Azul",VLOOKUP(F3,#REF!,3,TRUE),VLOOKUP(F3,#REF!,3,TRUE)))</f>
        <v>#REF!</v>
      </c>
      <c r="I3" s="9">
        <f>IFERROR(VLOOKUP(C3,Palmares!#REF!,4,FALSE),0)</f>
        <v>0</v>
      </c>
    </row>
    <row r="4" spans="1:9" ht="15.6" x14ac:dyDescent="0.3">
      <c r="A4" s="39" t="s">
        <v>9</v>
      </c>
      <c r="C4" s="1">
        <v>20092</v>
      </c>
      <c r="D4" s="2" t="s">
        <v>13</v>
      </c>
      <c r="E4" s="2" t="s">
        <v>14</v>
      </c>
      <c r="F4"/>
      <c r="G4" t="str">
        <f t="shared" si="0"/>
        <v>Azul</v>
      </c>
      <c r="H4" t="e">
        <f>IF(G4="Rojas",VLOOKUP(F4,#REF!,3,TRUE),IF(G4="Azul",VLOOKUP(F4,#REF!,3,TRUE),VLOOKUP(F4,#REF!,3,TRUE)))</f>
        <v>#REF!</v>
      </c>
      <c r="I4" s="9">
        <f>IFERROR(VLOOKUP(C4,Palmares!#REF!,4,FALSE),0)</f>
        <v>0</v>
      </c>
    </row>
    <row r="5" spans="1:9" ht="15.6" x14ac:dyDescent="0.3">
      <c r="A5" s="2" t="s">
        <v>9</v>
      </c>
      <c r="C5" s="1">
        <v>23512</v>
      </c>
      <c r="D5" s="2" t="s">
        <v>15</v>
      </c>
      <c r="E5" s="2" t="s">
        <v>16</v>
      </c>
      <c r="F5"/>
      <c r="G5" t="str">
        <f t="shared" si="0"/>
        <v>Azul</v>
      </c>
      <c r="H5" t="e">
        <f>IF(G5="Rojas",VLOOKUP(F5,#REF!,3,TRUE),IF(G5="Azul",VLOOKUP(F5,#REF!,3,TRUE),VLOOKUP(F5,#REF!,3,TRUE)))</f>
        <v>#REF!</v>
      </c>
      <c r="I5" s="9">
        <f>IFERROR(VLOOKUP(C5,Palmares!#REF!,4,FALSE),0)</f>
        <v>0</v>
      </c>
    </row>
    <row r="6" spans="1:9" ht="15.6" x14ac:dyDescent="0.3">
      <c r="A6" s="36" t="s">
        <v>17</v>
      </c>
      <c r="B6">
        <v>1</v>
      </c>
      <c r="C6" s="1">
        <v>28225</v>
      </c>
      <c r="D6" s="41" t="s">
        <v>222</v>
      </c>
      <c r="E6" s="2" t="s">
        <v>233</v>
      </c>
      <c r="F6" s="9">
        <v>12.2</v>
      </c>
      <c r="G6" t="str">
        <f>IF(A6="Damas","Rojas",IF(F6&lt;18.8,"Azul","Blanca"))</f>
        <v>Azul</v>
      </c>
      <c r="H6" t="e">
        <f>IF(G6="Rojas",VLOOKUP(F6,#REF!,3,TRUE),IF(G6="Azul",VLOOKUP(F6,#REF!,3,TRUE),VLOOKUP(F6,#REF!,3,TRUE)))</f>
        <v>#REF!</v>
      </c>
      <c r="I6" s="9">
        <f>IFERROR(VLOOKUP(C6,Palmares!#REF!,4,FALSE),0)</f>
        <v>0</v>
      </c>
    </row>
    <row r="7" spans="1:9" ht="15.6" x14ac:dyDescent="0.3">
      <c r="A7" s="37" t="s">
        <v>9</v>
      </c>
      <c r="C7" s="1">
        <v>283</v>
      </c>
      <c r="D7" s="2" t="s">
        <v>20</v>
      </c>
      <c r="E7" s="2" t="s">
        <v>21</v>
      </c>
      <c r="F7"/>
      <c r="G7" t="str">
        <f>+IF(F7&lt;18.8,"Azul","Blanca")</f>
        <v>Azul</v>
      </c>
      <c r="H7" t="e">
        <f>IF(G7="Rojas",VLOOKUP(F7,#REF!,3,TRUE),IF(G7="Azul",VLOOKUP(F7,#REF!,3,TRUE),VLOOKUP(F7,#REF!,3,TRUE)))</f>
        <v>#REF!</v>
      </c>
      <c r="I7" s="9">
        <f>IFERROR(VLOOKUP(C7,Palmares!#REF!,4,FALSE),0)</f>
        <v>0</v>
      </c>
    </row>
    <row r="8" spans="1:9" ht="15.6" x14ac:dyDescent="0.3">
      <c r="A8" s="37" t="s">
        <v>9</v>
      </c>
      <c r="C8" s="1">
        <v>22621</v>
      </c>
      <c r="D8" s="2" t="s">
        <v>22</v>
      </c>
      <c r="E8" s="2" t="s">
        <v>23</v>
      </c>
      <c r="F8"/>
      <c r="G8" t="str">
        <f>+IF(F8&lt;18.8,"Azul","Blanca")</f>
        <v>Azul</v>
      </c>
      <c r="H8" t="e">
        <f>IF(G8="Rojas",VLOOKUP(F8,#REF!,3,TRUE),IF(G8="Azul",VLOOKUP(F8,#REF!,3,TRUE),VLOOKUP(F8,#REF!,3,TRUE)))</f>
        <v>#REF!</v>
      </c>
      <c r="I8" s="9">
        <f>IFERROR(VLOOKUP(C8,Palmares!#REF!,4,FALSE),0)</f>
        <v>0</v>
      </c>
    </row>
    <row r="9" spans="1:9" ht="15.6" x14ac:dyDescent="0.3">
      <c r="A9" s="37" t="s">
        <v>9</v>
      </c>
      <c r="C9" s="1">
        <v>403</v>
      </c>
      <c r="D9" s="2" t="s">
        <v>24</v>
      </c>
      <c r="E9" s="2" t="s">
        <v>25</v>
      </c>
      <c r="F9"/>
      <c r="G9" t="str">
        <f>+IF(F9&lt;18.8,"Azul","Blanca")</f>
        <v>Azul</v>
      </c>
      <c r="H9" t="e">
        <f>IF(G9="Rojas",VLOOKUP(F9,#REF!,3,TRUE),IF(G9="Azul",VLOOKUP(F9,#REF!,3,TRUE),VLOOKUP(F9,#REF!,3,TRUE)))</f>
        <v>#REF!</v>
      </c>
      <c r="I9" s="9">
        <f>IFERROR(VLOOKUP(C9,Palmares!#REF!,4,FALSE),0)</f>
        <v>0</v>
      </c>
    </row>
    <row r="10" spans="1:9" ht="15.6" x14ac:dyDescent="0.3">
      <c r="A10" s="37" t="s">
        <v>17</v>
      </c>
      <c r="C10" s="1">
        <v>36282</v>
      </c>
      <c r="D10" s="2" t="s">
        <v>26</v>
      </c>
      <c r="E10" s="2" t="s">
        <v>27</v>
      </c>
      <c r="F10" s="9">
        <v>35.700000000000003</v>
      </c>
      <c r="G10" t="str">
        <f>+IF(F10&lt;18.8,"Azul","Blanca")</f>
        <v>Blanca</v>
      </c>
      <c r="H10" t="e">
        <f>IF(G10="Rojas",VLOOKUP(F10,#REF!,3,TRUE),IF(G10="Azul",VLOOKUP(F10,#REF!,3,TRUE),VLOOKUP(F10,#REF!,3,TRUE)))</f>
        <v>#REF!</v>
      </c>
      <c r="I10" s="9">
        <f>IFERROR(VLOOKUP(C10,Palmares!#REF!,4,FALSE),0)</f>
        <v>0</v>
      </c>
    </row>
    <row r="11" spans="1:9" ht="15.6" x14ac:dyDescent="0.3">
      <c r="A11" s="37" t="s">
        <v>17</v>
      </c>
      <c r="B11">
        <v>1</v>
      </c>
      <c r="C11" s="1">
        <v>14448</v>
      </c>
      <c r="D11" s="41" t="s">
        <v>18</v>
      </c>
      <c r="E11" s="2" t="s">
        <v>19</v>
      </c>
      <c r="F11" s="9">
        <v>13.4</v>
      </c>
      <c r="G11" t="str">
        <f>IF(A11="Damas","Rojas",IF(F11&lt;18.8,"Azul","Blanca"))</f>
        <v>Azul</v>
      </c>
      <c r="H11" t="e">
        <f>IF(G11="Rojas",VLOOKUP(F11,#REF!,3,TRUE),IF(G11="Azul",VLOOKUP(F11,#REF!,3,TRUE),VLOOKUP(F11,#REF!,3,TRUE)))</f>
        <v>#REF!</v>
      </c>
      <c r="I11" s="9">
        <f>IFERROR(VLOOKUP(C11,Palmares!#REF!,4,FALSE),0)</f>
        <v>0</v>
      </c>
    </row>
    <row r="12" spans="1:9" ht="15.6" x14ac:dyDescent="0.3">
      <c r="A12" s="37" t="s">
        <v>9</v>
      </c>
      <c r="C12" s="1">
        <v>23513</v>
      </c>
      <c r="D12" s="2" t="s">
        <v>30</v>
      </c>
      <c r="E12" s="2" t="s">
        <v>31</v>
      </c>
      <c r="F12"/>
      <c r="G12" t="str">
        <f t="shared" ref="G12:G20" si="1">+IF(F12&lt;18.8,"Azul","Blanca")</f>
        <v>Azul</v>
      </c>
      <c r="H12" t="e">
        <f>IF(G12="Rojas",VLOOKUP(F12,#REF!,3,TRUE),IF(G12="Azul",VLOOKUP(F12,#REF!,3,TRUE),VLOOKUP(F12,#REF!,3,TRUE)))</f>
        <v>#REF!</v>
      </c>
      <c r="I12" s="9">
        <f>IFERROR(VLOOKUP(C12,Palmares!#REF!,4,FALSE),0)</f>
        <v>0</v>
      </c>
    </row>
    <row r="13" spans="1:9" ht="15.6" x14ac:dyDescent="0.3">
      <c r="A13" s="37" t="s">
        <v>9</v>
      </c>
      <c r="C13" s="1">
        <v>480</v>
      </c>
      <c r="D13" s="2" t="s">
        <v>30</v>
      </c>
      <c r="E13" s="2" t="s">
        <v>32</v>
      </c>
      <c r="F13"/>
      <c r="G13" t="str">
        <f t="shared" si="1"/>
        <v>Azul</v>
      </c>
      <c r="H13" t="e">
        <f>IF(G13="Rojas",VLOOKUP(F13,#REF!,3,TRUE),IF(G13="Azul",VLOOKUP(F13,#REF!,3,TRUE),VLOOKUP(F13,#REF!,3,TRUE)))</f>
        <v>#REF!</v>
      </c>
      <c r="I13" s="9">
        <f>IFERROR(VLOOKUP(C13,Palmares!#REF!,4,FALSE),0)</f>
        <v>0</v>
      </c>
    </row>
    <row r="14" spans="1:9" ht="15.6" x14ac:dyDescent="0.3">
      <c r="A14" s="37" t="s">
        <v>9</v>
      </c>
      <c r="C14" s="1">
        <v>7243</v>
      </c>
      <c r="D14" s="2" t="s">
        <v>33</v>
      </c>
      <c r="E14" s="2" t="s">
        <v>34</v>
      </c>
      <c r="F14"/>
      <c r="G14" t="str">
        <f t="shared" si="1"/>
        <v>Azul</v>
      </c>
      <c r="H14" t="e">
        <f>IF(G14="Rojas",VLOOKUP(F14,#REF!,3,TRUE),IF(G14="Azul",VLOOKUP(F14,#REF!,3,TRUE),VLOOKUP(F14,#REF!,3,TRUE)))</f>
        <v>#REF!</v>
      </c>
      <c r="I14" s="9">
        <f>IFERROR(VLOOKUP(C14,Palmares!#REF!,4,FALSE),0)</f>
        <v>0</v>
      </c>
    </row>
    <row r="15" spans="1:9" ht="15.6" x14ac:dyDescent="0.3">
      <c r="A15" s="37" t="s">
        <v>9</v>
      </c>
      <c r="C15" s="1">
        <v>633</v>
      </c>
      <c r="D15" s="2" t="s">
        <v>35</v>
      </c>
      <c r="E15" s="2" t="s">
        <v>36</v>
      </c>
      <c r="F15"/>
      <c r="G15" t="str">
        <f t="shared" si="1"/>
        <v>Azul</v>
      </c>
      <c r="H15" t="e">
        <f>IF(G15="Rojas",VLOOKUP(F15,#REF!,3,TRUE),IF(G15="Azul",VLOOKUP(F15,#REF!,3,TRUE),VLOOKUP(F15,#REF!,3,TRUE)))</f>
        <v>#REF!</v>
      </c>
      <c r="I15" s="9">
        <f>IFERROR(VLOOKUP(C15,Palmares!#REF!,4,FALSE),0)</f>
        <v>0</v>
      </c>
    </row>
    <row r="16" spans="1:9" ht="15.6" x14ac:dyDescent="0.3">
      <c r="A16" s="37" t="s">
        <v>9</v>
      </c>
      <c r="C16" s="1">
        <v>27654</v>
      </c>
      <c r="D16" s="2" t="s">
        <v>37</v>
      </c>
      <c r="E16" s="2" t="s">
        <v>38</v>
      </c>
      <c r="F16"/>
      <c r="G16" t="str">
        <f t="shared" si="1"/>
        <v>Azul</v>
      </c>
      <c r="H16" t="e">
        <f>IF(G16="Rojas",VLOOKUP(F16,#REF!,3,TRUE),IF(G16="Azul",VLOOKUP(F16,#REF!,3,TRUE),VLOOKUP(F16,#REF!,3,TRUE)))</f>
        <v>#REF!</v>
      </c>
      <c r="I16" s="9">
        <f>IFERROR(VLOOKUP(C16,Palmares!#REF!,4,FALSE),0)</f>
        <v>0</v>
      </c>
    </row>
    <row r="17" spans="1:9" ht="15.6" x14ac:dyDescent="0.3">
      <c r="A17" s="37" t="s">
        <v>17</v>
      </c>
      <c r="C17" s="3">
        <v>479</v>
      </c>
      <c r="D17" s="2" t="s">
        <v>274</v>
      </c>
      <c r="E17" s="2" t="s">
        <v>275</v>
      </c>
      <c r="F17" s="9">
        <v>27.5</v>
      </c>
      <c r="G17" t="str">
        <f t="shared" si="1"/>
        <v>Blanca</v>
      </c>
      <c r="H17" t="e">
        <f>IF(G17="Rojas",VLOOKUP(F17,#REF!,3,TRUE),IF(G17="Azul",VLOOKUP(F17,#REF!,3,TRUE),VLOOKUP(F17,#REF!,3,TRUE)))</f>
        <v>#REF!</v>
      </c>
      <c r="I17" s="9">
        <f>IFERROR(VLOOKUP(C17,Palmares!#REF!,4,FALSE),0)</f>
        <v>0</v>
      </c>
    </row>
    <row r="18" spans="1:9" ht="15.6" x14ac:dyDescent="0.3">
      <c r="A18" s="37" t="s">
        <v>9</v>
      </c>
      <c r="C18" s="1">
        <v>25160</v>
      </c>
      <c r="D18" s="2" t="s">
        <v>41</v>
      </c>
      <c r="E18" s="2" t="s">
        <v>42</v>
      </c>
      <c r="F18"/>
      <c r="G18" t="str">
        <f t="shared" si="1"/>
        <v>Azul</v>
      </c>
      <c r="H18" t="e">
        <f>IF(G18="Rojas",VLOOKUP(F18,#REF!,3,TRUE),IF(G18="Azul",VLOOKUP(F18,#REF!,3,TRUE),VLOOKUP(F18,#REF!,3,TRUE)))</f>
        <v>#REF!</v>
      </c>
      <c r="I18" s="9">
        <f>IFERROR(VLOOKUP(C18,Palmares!#REF!,4,FALSE),0)</f>
        <v>0</v>
      </c>
    </row>
    <row r="19" spans="1:9" ht="15.6" x14ac:dyDescent="0.3">
      <c r="A19" s="37" t="s">
        <v>9</v>
      </c>
      <c r="C19" s="1">
        <v>17295</v>
      </c>
      <c r="D19" s="2" t="s">
        <v>43</v>
      </c>
      <c r="E19" s="2" t="s">
        <v>44</v>
      </c>
      <c r="F19"/>
      <c r="G19" t="str">
        <f t="shared" si="1"/>
        <v>Azul</v>
      </c>
      <c r="H19" t="e">
        <f>IF(G19="Rojas",VLOOKUP(F19,#REF!,3,TRUE),IF(G19="Azul",VLOOKUP(F19,#REF!,3,TRUE),VLOOKUP(F19,#REF!,3,TRUE)))</f>
        <v>#REF!</v>
      </c>
      <c r="I19" s="9">
        <f>IFERROR(VLOOKUP(C19,Palmares!#REF!,4,FALSE),0)</f>
        <v>0</v>
      </c>
    </row>
    <row r="20" spans="1:9" ht="15.6" x14ac:dyDescent="0.3">
      <c r="A20" s="37" t="s">
        <v>9</v>
      </c>
      <c r="C20" s="1">
        <v>24562</v>
      </c>
      <c r="D20" s="2" t="s">
        <v>45</v>
      </c>
      <c r="E20" s="2" t="s">
        <v>46</v>
      </c>
      <c r="F20"/>
      <c r="G20" t="str">
        <f t="shared" si="1"/>
        <v>Azul</v>
      </c>
      <c r="H20" t="e">
        <f>IF(G20="Rojas",VLOOKUP(F20,#REF!,3,TRUE),IF(G20="Azul",VLOOKUP(F20,#REF!,3,TRUE),VLOOKUP(F20,#REF!,3,TRUE)))</f>
        <v>#REF!</v>
      </c>
      <c r="I20" s="9">
        <f>IFERROR(VLOOKUP(C20,Palmares!#REF!,4,FALSE),0)</f>
        <v>0</v>
      </c>
    </row>
    <row r="21" spans="1:9" ht="15.6" x14ac:dyDescent="0.3">
      <c r="A21" s="37" t="s">
        <v>17</v>
      </c>
      <c r="B21">
        <v>1</v>
      </c>
      <c r="C21" s="1">
        <v>17043</v>
      </c>
      <c r="D21" s="41" t="s">
        <v>118</v>
      </c>
      <c r="E21" s="2" t="s">
        <v>119</v>
      </c>
      <c r="F21" s="9">
        <v>16.3</v>
      </c>
      <c r="G21" t="str">
        <f>IF(A21="Damas","Rojas",IF(F21&lt;18.8,"Azul","Blanca"))</f>
        <v>Azul</v>
      </c>
      <c r="H21" t="e">
        <f>IF(G21="Rojas",VLOOKUP(F21,#REF!,3,TRUE),IF(G21="Azul",VLOOKUP(F21,#REF!,3,TRUE),VLOOKUP(F21,#REF!,3,TRUE)))</f>
        <v>#REF!</v>
      </c>
      <c r="I21" s="9">
        <f>IFERROR(VLOOKUP(C21,Palmares!#REF!,4,FALSE),0)</f>
        <v>0</v>
      </c>
    </row>
    <row r="22" spans="1:9" ht="15.6" x14ac:dyDescent="0.3">
      <c r="A22" s="37" t="s">
        <v>9</v>
      </c>
      <c r="C22" s="3">
        <v>927</v>
      </c>
      <c r="D22" s="2" t="s">
        <v>49</v>
      </c>
      <c r="E22" s="2" t="s">
        <v>50</v>
      </c>
      <c r="F22"/>
      <c r="G22" t="str">
        <f>+IF(F22&lt;18.8,"Azul","Blanca")</f>
        <v>Azul</v>
      </c>
      <c r="H22" t="e">
        <f>IF(G22="Rojas",VLOOKUP(F22,#REF!,3,TRUE),IF(G22="Azul",VLOOKUP(F22,#REF!,3,TRUE),VLOOKUP(F22,#REF!,3,TRUE)))</f>
        <v>#REF!</v>
      </c>
      <c r="I22" s="9">
        <f>IFERROR(VLOOKUP(C22,Palmares!#REF!,4,FALSE),0)</f>
        <v>0</v>
      </c>
    </row>
    <row r="23" spans="1:9" ht="15.6" x14ac:dyDescent="0.3">
      <c r="A23" s="37" t="s">
        <v>51</v>
      </c>
      <c r="B23">
        <v>1</v>
      </c>
      <c r="C23" s="1">
        <v>18861</v>
      </c>
      <c r="D23" s="41" t="s">
        <v>351</v>
      </c>
      <c r="E23" s="2" t="s">
        <v>352</v>
      </c>
      <c r="F23" s="9">
        <v>18.600000000000001</v>
      </c>
      <c r="G23" t="str">
        <f>IF(A23="Damas","Rojas",IF(F23&lt;18.8,"Azul","Blanca"))</f>
        <v>Rojas</v>
      </c>
      <c r="H23" t="e">
        <f>IF(G23="Rojas",VLOOKUP(F23,#REF!,3,TRUE),IF(G23="Azul",VLOOKUP(F23,#REF!,3,TRUE),VLOOKUP(F23,#REF!,3,TRUE)))</f>
        <v>#REF!</v>
      </c>
      <c r="I23" s="9">
        <f>IFERROR(VLOOKUP(C23,Palmares!#REF!,4,FALSE),0)</f>
        <v>0</v>
      </c>
    </row>
    <row r="24" spans="1:9" ht="15.6" x14ac:dyDescent="0.3">
      <c r="A24" s="37" t="s">
        <v>9</v>
      </c>
      <c r="C24" s="1">
        <v>15665</v>
      </c>
      <c r="D24" s="2" t="s">
        <v>54</v>
      </c>
      <c r="E24" s="2" t="s">
        <v>55</v>
      </c>
      <c r="F24"/>
      <c r="G24" t="str">
        <f>+IF(F24&lt;18.8,"Azul","Blanca")</f>
        <v>Azul</v>
      </c>
      <c r="H24" t="e">
        <f>IF(G24="Rojas",VLOOKUP(F24,#REF!,3,TRUE),IF(G24="Azul",VLOOKUP(F24,#REF!,3,TRUE),VLOOKUP(F24,#REF!,3,TRUE)))</f>
        <v>#REF!</v>
      </c>
      <c r="I24" s="9">
        <f>IFERROR(VLOOKUP(C24,Palmares!#REF!,4,FALSE),0)</f>
        <v>0</v>
      </c>
    </row>
    <row r="25" spans="1:9" ht="15.6" x14ac:dyDescent="0.3">
      <c r="A25" s="37" t="s">
        <v>9</v>
      </c>
      <c r="C25" s="1">
        <v>15296</v>
      </c>
      <c r="D25" s="2" t="s">
        <v>56</v>
      </c>
      <c r="E25" s="2" t="s">
        <v>57</v>
      </c>
      <c r="F25"/>
      <c r="G25" t="str">
        <f>+IF(F25&lt;18.8,"Azul","Blanca")</f>
        <v>Azul</v>
      </c>
      <c r="H25" t="e">
        <f>IF(G25="Rojas",VLOOKUP(F25,#REF!,3,TRUE),IF(G25="Azul",VLOOKUP(F25,#REF!,3,TRUE),VLOOKUP(F25,#REF!,3,TRUE)))</f>
        <v>#REF!</v>
      </c>
      <c r="I25" s="9">
        <f>IFERROR(VLOOKUP(C25,Palmares!#REF!,4,FALSE),0)</f>
        <v>0</v>
      </c>
    </row>
    <row r="26" spans="1:9" ht="15.6" x14ac:dyDescent="0.3">
      <c r="A26" s="37" t="s">
        <v>17</v>
      </c>
      <c r="C26" s="1">
        <v>15107</v>
      </c>
      <c r="D26" s="2" t="s">
        <v>153</v>
      </c>
      <c r="E26" s="2" t="s">
        <v>154</v>
      </c>
      <c r="F26" s="9">
        <v>14</v>
      </c>
      <c r="G26" t="str">
        <f>IF(A26="Damas","Rojas",IF(F26&lt;18.8,"Azul","Blanca"))</f>
        <v>Azul</v>
      </c>
      <c r="H26" t="e">
        <f>IF(G26="Rojas",VLOOKUP(F26,#REF!,3,TRUE),IF(G26="Azul",VLOOKUP(F26,#REF!,3,TRUE),VLOOKUP(F26,#REF!,3,TRUE)))</f>
        <v>#REF!</v>
      </c>
      <c r="I26" s="9">
        <f>IFERROR(VLOOKUP(C26,Palmares!#REF!,4,FALSE),0)</f>
        <v>0</v>
      </c>
    </row>
    <row r="27" spans="1:9" ht="15.6" x14ac:dyDescent="0.3">
      <c r="A27" s="37" t="s">
        <v>9</v>
      </c>
      <c r="C27" s="1">
        <v>23146</v>
      </c>
      <c r="D27" s="2" t="s">
        <v>60</v>
      </c>
      <c r="E27" s="2" t="s">
        <v>61</v>
      </c>
      <c r="F27"/>
      <c r="G27" t="str">
        <f t="shared" ref="G27:G38" si="2">+IF(F27&lt;18.8,"Azul","Blanca")</f>
        <v>Azul</v>
      </c>
      <c r="H27" t="e">
        <f>IF(G27="Rojas",VLOOKUP(F27,#REF!,3,TRUE),IF(G27="Azul",VLOOKUP(F27,#REF!,3,TRUE),VLOOKUP(F27,#REF!,3,TRUE)))</f>
        <v>#REF!</v>
      </c>
      <c r="I27" s="9">
        <f>IFERROR(VLOOKUP(C27,Palmares!#REF!,4,FALSE),0)</f>
        <v>0</v>
      </c>
    </row>
    <row r="28" spans="1:9" ht="15.6" x14ac:dyDescent="0.3">
      <c r="A28" s="37" t="s">
        <v>9</v>
      </c>
      <c r="C28" s="1">
        <v>1461</v>
      </c>
      <c r="D28" s="2" t="s">
        <v>62</v>
      </c>
      <c r="E28" s="2" t="s">
        <v>63</v>
      </c>
      <c r="F28"/>
      <c r="G28" t="str">
        <f t="shared" si="2"/>
        <v>Azul</v>
      </c>
      <c r="H28" t="e">
        <f>IF(G28="Rojas",VLOOKUP(F28,#REF!,3,TRUE),IF(G28="Azul",VLOOKUP(F28,#REF!,3,TRUE),VLOOKUP(F28,#REF!,3,TRUE)))</f>
        <v>#REF!</v>
      </c>
      <c r="I28" s="9">
        <f>IFERROR(VLOOKUP(C28,Palmares!#REF!,4,FALSE),0)</f>
        <v>0</v>
      </c>
    </row>
    <row r="29" spans="1:9" ht="15.6" x14ac:dyDescent="0.3">
      <c r="A29" s="39" t="s">
        <v>9</v>
      </c>
      <c r="C29" s="1">
        <v>18473</v>
      </c>
      <c r="D29" s="2" t="s">
        <v>64</v>
      </c>
      <c r="E29" s="2" t="s">
        <v>65</v>
      </c>
      <c r="F29"/>
      <c r="G29" t="str">
        <f t="shared" si="2"/>
        <v>Azul</v>
      </c>
      <c r="H29" t="e">
        <f>IF(G29="Rojas",VLOOKUP(F29,#REF!,3,TRUE),IF(G29="Azul",VLOOKUP(F29,#REF!,3,TRUE),VLOOKUP(F29,#REF!,3,TRUE)))</f>
        <v>#REF!</v>
      </c>
      <c r="I29" s="9">
        <f>IFERROR(VLOOKUP(C29,Palmares!#REF!,4,FALSE),0)</f>
        <v>0</v>
      </c>
    </row>
    <row r="30" spans="1:9" ht="15.6" x14ac:dyDescent="0.3">
      <c r="A30" s="2" t="s">
        <v>17</v>
      </c>
      <c r="C30" s="1">
        <v>1396</v>
      </c>
      <c r="D30" s="2" t="s">
        <v>66</v>
      </c>
      <c r="E30" s="2" t="s">
        <v>67</v>
      </c>
      <c r="F30" s="9">
        <v>18.7</v>
      </c>
      <c r="G30" t="str">
        <f t="shared" si="2"/>
        <v>Azul</v>
      </c>
      <c r="H30" t="e">
        <f>IF(G30="Rojas",VLOOKUP(F30,#REF!,3,TRUE),IF(G30="Azul",VLOOKUP(F30,#REF!,3,TRUE),VLOOKUP(F30,#REF!,3,TRUE)))</f>
        <v>#REF!</v>
      </c>
      <c r="I30" s="9">
        <f>IFERROR(VLOOKUP(C30,Palmares!#REF!,4,FALSE),0)</f>
        <v>0</v>
      </c>
    </row>
    <row r="31" spans="1:9" ht="15.6" x14ac:dyDescent="0.3">
      <c r="A31" s="36" t="s">
        <v>9</v>
      </c>
      <c r="C31" s="1">
        <v>1935</v>
      </c>
      <c r="D31" s="2" t="s">
        <v>68</v>
      </c>
      <c r="E31" s="2" t="s">
        <v>69</v>
      </c>
      <c r="F31"/>
      <c r="G31" t="str">
        <f t="shared" si="2"/>
        <v>Azul</v>
      </c>
      <c r="H31" t="e">
        <f>IF(G31="Rojas",VLOOKUP(F31,#REF!,3,TRUE),IF(G31="Azul",VLOOKUP(F31,#REF!,3,TRUE),VLOOKUP(F31,#REF!,3,TRUE)))</f>
        <v>#REF!</v>
      </c>
      <c r="I31" s="9">
        <f>IFERROR(VLOOKUP(C31,Palmares!#REF!,4,FALSE),0)</f>
        <v>0</v>
      </c>
    </row>
    <row r="32" spans="1:9" ht="15.6" x14ac:dyDescent="0.3">
      <c r="A32" s="37" t="s">
        <v>9</v>
      </c>
      <c r="C32" s="1">
        <v>28272</v>
      </c>
      <c r="D32" s="2" t="s">
        <v>70</v>
      </c>
      <c r="E32" s="2" t="s">
        <v>71</v>
      </c>
      <c r="F32"/>
      <c r="G32" t="str">
        <f t="shared" si="2"/>
        <v>Azul</v>
      </c>
      <c r="H32" t="e">
        <f>IF(G32="Rojas",VLOOKUP(F32,#REF!,3,TRUE),IF(G32="Azul",VLOOKUP(F32,#REF!,3,TRUE),VLOOKUP(F32,#REF!,3,TRUE)))</f>
        <v>#REF!</v>
      </c>
      <c r="I32" s="9">
        <f>IFERROR(VLOOKUP(C32,Palmares!#REF!,4,FALSE),0)</f>
        <v>0</v>
      </c>
    </row>
    <row r="33" spans="1:9" ht="15.6" x14ac:dyDescent="0.3">
      <c r="A33" s="37" t="s">
        <v>17</v>
      </c>
      <c r="C33" s="3">
        <v>32757</v>
      </c>
      <c r="D33" s="2" t="s">
        <v>82</v>
      </c>
      <c r="E33" s="2" t="s">
        <v>83</v>
      </c>
      <c r="F33" s="9">
        <v>17.7</v>
      </c>
      <c r="G33" t="str">
        <f t="shared" si="2"/>
        <v>Azul</v>
      </c>
      <c r="H33" t="e">
        <f>IF(G33="Rojas",VLOOKUP(F33,#REF!,3,TRUE),IF(G33="Azul",VLOOKUP(F33,#REF!,3,TRUE),VLOOKUP(F33,#REF!,3,TRUE)))</f>
        <v>#REF!</v>
      </c>
      <c r="I33" s="9">
        <f>IFERROR(VLOOKUP(C33,Palmares!#REF!,4,FALSE),0)</f>
        <v>0</v>
      </c>
    </row>
    <row r="34" spans="1:9" ht="15.6" x14ac:dyDescent="0.3">
      <c r="A34" s="37" t="s">
        <v>9</v>
      </c>
      <c r="C34" s="4">
        <v>24768</v>
      </c>
      <c r="D34" s="5" t="s">
        <v>73</v>
      </c>
      <c r="E34" s="5" t="s">
        <v>74</v>
      </c>
      <c r="F34"/>
      <c r="G34" t="str">
        <f t="shared" si="2"/>
        <v>Azul</v>
      </c>
      <c r="H34" t="e">
        <f>IF(G34="Rojas",VLOOKUP(F34,#REF!,3,TRUE),IF(G34="Azul",VLOOKUP(F34,#REF!,3,TRUE),VLOOKUP(F34,#REF!,3,TRUE)))</f>
        <v>#REF!</v>
      </c>
      <c r="I34" s="9">
        <f>IFERROR(VLOOKUP(C34,Palmares!#REF!,4,FALSE),0)</f>
        <v>0</v>
      </c>
    </row>
    <row r="35" spans="1:9" ht="15.6" x14ac:dyDescent="0.3">
      <c r="A35" s="37" t="s">
        <v>9</v>
      </c>
      <c r="C35" s="1">
        <v>24736</v>
      </c>
      <c r="D35" s="2" t="s">
        <v>73</v>
      </c>
      <c r="E35" s="2" t="s">
        <v>75</v>
      </c>
      <c r="F35"/>
      <c r="G35" t="str">
        <f t="shared" si="2"/>
        <v>Azul</v>
      </c>
      <c r="H35" t="e">
        <f>IF(G35="Rojas",VLOOKUP(F35,#REF!,3,TRUE),IF(G35="Azul",VLOOKUP(F35,#REF!,3,TRUE),VLOOKUP(F35,#REF!,3,TRUE)))</f>
        <v>#REF!</v>
      </c>
      <c r="I35" s="9">
        <f>IFERROR(VLOOKUP(C35,Palmares!#REF!,4,FALSE),0)</f>
        <v>0</v>
      </c>
    </row>
    <row r="36" spans="1:9" ht="15.6" x14ac:dyDescent="0.3">
      <c r="A36" s="37" t="s">
        <v>9</v>
      </c>
      <c r="C36" s="1">
        <v>1995</v>
      </c>
      <c r="D36" s="2" t="s">
        <v>76</v>
      </c>
      <c r="E36" s="2" t="s">
        <v>77</v>
      </c>
      <c r="F36"/>
      <c r="G36" t="str">
        <f t="shared" si="2"/>
        <v>Azul</v>
      </c>
      <c r="H36" t="e">
        <f>IF(G36="Rojas",VLOOKUP(F36,#REF!,3,TRUE),IF(G36="Azul",VLOOKUP(F36,#REF!,3,TRUE),VLOOKUP(F36,#REF!,3,TRUE)))</f>
        <v>#REF!</v>
      </c>
      <c r="I36" s="9">
        <f>IFERROR(VLOOKUP(C36,Palmares!#REF!,4,FALSE),0)</f>
        <v>0</v>
      </c>
    </row>
    <row r="37" spans="1:9" ht="15.6" x14ac:dyDescent="0.3">
      <c r="A37" s="37" t="s">
        <v>9</v>
      </c>
      <c r="C37" s="1">
        <v>28577</v>
      </c>
      <c r="D37" s="2" t="s">
        <v>78</v>
      </c>
      <c r="E37" s="2" t="s">
        <v>79</v>
      </c>
      <c r="F37"/>
      <c r="G37" t="str">
        <f t="shared" si="2"/>
        <v>Azul</v>
      </c>
      <c r="H37" t="e">
        <f>IF(G37="Rojas",VLOOKUP(F37,#REF!,3,TRUE),IF(G37="Azul",VLOOKUP(F37,#REF!,3,TRUE),VLOOKUP(F37,#REF!,3,TRUE)))</f>
        <v>#REF!</v>
      </c>
      <c r="I37" s="9">
        <f>IFERROR(VLOOKUP(C37,Palmares!#REF!,4,FALSE),0)</f>
        <v>0</v>
      </c>
    </row>
    <row r="38" spans="1:9" ht="15.6" x14ac:dyDescent="0.3">
      <c r="A38" s="37" t="s">
        <v>9</v>
      </c>
      <c r="C38" s="1">
        <v>24474</v>
      </c>
      <c r="D38" s="2" t="s">
        <v>80</v>
      </c>
      <c r="E38" s="2" t="s">
        <v>81</v>
      </c>
      <c r="F38"/>
      <c r="G38" t="str">
        <f t="shared" si="2"/>
        <v>Azul</v>
      </c>
      <c r="H38" t="e">
        <f>IF(G38="Rojas",VLOOKUP(F38,#REF!,3,TRUE),IF(G38="Azul",VLOOKUP(F38,#REF!,3,TRUE),VLOOKUP(F38,#REF!,3,TRUE)))</f>
        <v>#REF!</v>
      </c>
      <c r="I38" s="9">
        <f>IFERROR(VLOOKUP(C38,Palmares!#REF!,4,FALSE),0)</f>
        <v>0</v>
      </c>
    </row>
    <row r="39" spans="1:9" ht="15.6" x14ac:dyDescent="0.3">
      <c r="A39" s="37" t="s">
        <v>17</v>
      </c>
      <c r="C39" s="1">
        <v>30377</v>
      </c>
      <c r="D39" s="2" t="s">
        <v>72</v>
      </c>
      <c r="E39" s="2" t="s">
        <v>71</v>
      </c>
      <c r="F39" s="9">
        <v>17.100000000000001</v>
      </c>
      <c r="G39" t="str">
        <f>IF(A39="Damas","Rojas",IF(F39&lt;18.8,"Azul","Blanca"))</f>
        <v>Azul</v>
      </c>
      <c r="H39" t="e">
        <f>IF(G39="Rojas",VLOOKUP(F39,#REF!,3,TRUE),IF(G39="Azul",VLOOKUP(F39,#REF!,3,TRUE),VLOOKUP(F39,#REF!,3,TRUE)))</f>
        <v>#REF!</v>
      </c>
      <c r="I39" s="9">
        <f>IFERROR(VLOOKUP(C39,Palmares!#REF!,4,FALSE),0)</f>
        <v>0</v>
      </c>
    </row>
    <row r="40" spans="1:9" ht="15.6" x14ac:dyDescent="0.3">
      <c r="A40" s="37" t="s">
        <v>9</v>
      </c>
      <c r="C40" s="1">
        <v>17697</v>
      </c>
      <c r="D40" s="2" t="s">
        <v>84</v>
      </c>
      <c r="E40" s="2" t="s">
        <v>85</v>
      </c>
      <c r="F40"/>
      <c r="G40" t="str">
        <f>+IF(F40&lt;18.8,"Azul","Blanca")</f>
        <v>Azul</v>
      </c>
      <c r="H40" t="e">
        <f>IF(G40="Rojas",VLOOKUP(F40,#REF!,3,TRUE),IF(G40="Azul",VLOOKUP(F40,#REF!,3,TRUE),VLOOKUP(F40,#REF!,3,TRUE)))</f>
        <v>#REF!</v>
      </c>
      <c r="I40" s="9">
        <f>IFERROR(VLOOKUP(C40,Palmares!#REF!,4,FALSE),0)</f>
        <v>0</v>
      </c>
    </row>
    <row r="41" spans="1:9" ht="15.6" x14ac:dyDescent="0.3">
      <c r="A41" s="37" t="s">
        <v>9</v>
      </c>
      <c r="C41" s="4">
        <v>22618</v>
      </c>
      <c r="D41" s="5" t="s">
        <v>86</v>
      </c>
      <c r="E41" s="5" t="s">
        <v>87</v>
      </c>
      <c r="F41"/>
      <c r="G41" t="str">
        <f>+IF(F41&lt;18.8,"Azul","Blanca")</f>
        <v>Azul</v>
      </c>
      <c r="H41" t="e">
        <f>IF(G41="Rojas",VLOOKUP(F41,#REF!,3,TRUE),IF(G41="Azul",VLOOKUP(F41,#REF!,3,TRUE),VLOOKUP(F41,#REF!,3,TRUE)))</f>
        <v>#REF!</v>
      </c>
      <c r="I41" s="9">
        <f>IFERROR(VLOOKUP(C41,Palmares!#REF!,4,FALSE),0)</f>
        <v>0</v>
      </c>
    </row>
    <row r="42" spans="1:9" ht="15.6" x14ac:dyDescent="0.3">
      <c r="A42" s="39" t="s">
        <v>17</v>
      </c>
      <c r="C42" s="1">
        <v>2193</v>
      </c>
      <c r="D42" s="2" t="s">
        <v>84</v>
      </c>
      <c r="E42" s="2" t="s">
        <v>88</v>
      </c>
      <c r="F42" s="17">
        <v>15.1</v>
      </c>
      <c r="G42" t="str">
        <f>IF(A42="Damas","Rojas",IF(F42&lt;18.8,"Azul","Blanca"))</f>
        <v>Azul</v>
      </c>
      <c r="H42" t="e">
        <f>IF(G42="Rojas",VLOOKUP(F42,#REF!,3,TRUE),IF(G42="Azul",VLOOKUP(F42,#REF!,3,TRUE),VLOOKUP(F42,#REF!,3,TRUE)))</f>
        <v>#REF!</v>
      </c>
      <c r="I42" s="9">
        <f>IFERROR(VLOOKUP(C42,Palmares!#REF!,4,FALSE),0)</f>
        <v>0</v>
      </c>
    </row>
    <row r="43" spans="1:9" ht="15.6" x14ac:dyDescent="0.3">
      <c r="A43" s="2" t="s">
        <v>9</v>
      </c>
      <c r="C43" s="1">
        <v>2217</v>
      </c>
      <c r="D43" s="2" t="s">
        <v>89</v>
      </c>
      <c r="E43" s="2" t="s">
        <v>90</v>
      </c>
      <c r="F43"/>
      <c r="G43" t="str">
        <f t="shared" ref="G43:G51" si="3">+IF(F43&lt;18.8,"Azul","Blanca")</f>
        <v>Azul</v>
      </c>
      <c r="H43" t="e">
        <f>IF(G43="Rojas",VLOOKUP(F43,#REF!,3,TRUE),IF(G43="Azul",VLOOKUP(F43,#REF!,3,TRUE),VLOOKUP(F43,#REF!,3,TRUE)))</f>
        <v>#REF!</v>
      </c>
      <c r="I43" s="9">
        <f>IFERROR(VLOOKUP(C43,Palmares!#REF!,4,FALSE),0)</f>
        <v>0</v>
      </c>
    </row>
    <row r="44" spans="1:9" ht="15.6" x14ac:dyDescent="0.3">
      <c r="A44" s="2" t="s">
        <v>9</v>
      </c>
      <c r="C44" s="1">
        <v>31602</v>
      </c>
      <c r="D44" s="2" t="s">
        <v>91</v>
      </c>
      <c r="E44" s="2" t="s">
        <v>92</v>
      </c>
      <c r="F44"/>
      <c r="G44" t="str">
        <f t="shared" si="3"/>
        <v>Azul</v>
      </c>
      <c r="H44" t="e">
        <f>IF(G44="Rojas",VLOOKUP(F44,#REF!,3,TRUE),IF(G44="Azul",VLOOKUP(F44,#REF!,3,TRUE),VLOOKUP(F44,#REF!,3,TRUE)))</f>
        <v>#REF!</v>
      </c>
      <c r="I44" s="9">
        <f>IFERROR(VLOOKUP(C44,Palmares!#REF!,4,FALSE),0)</f>
        <v>0</v>
      </c>
    </row>
    <row r="45" spans="1:9" ht="15.6" x14ac:dyDescent="0.3">
      <c r="A45" s="36" t="s">
        <v>9</v>
      </c>
      <c r="C45" s="4">
        <v>16498</v>
      </c>
      <c r="D45" s="5" t="s">
        <v>93</v>
      </c>
      <c r="E45" s="5" t="s">
        <v>94</v>
      </c>
      <c r="F45"/>
      <c r="G45" t="str">
        <f t="shared" si="3"/>
        <v>Azul</v>
      </c>
      <c r="H45" t="e">
        <f>IF(G45="Rojas",VLOOKUP(F45,#REF!,3,TRUE),IF(G45="Azul",VLOOKUP(F45,#REF!,3,TRUE),VLOOKUP(F45,#REF!,3,TRUE)))</f>
        <v>#REF!</v>
      </c>
      <c r="I45" s="9">
        <f>IFERROR(VLOOKUP(C45,Palmares!#REF!,4,FALSE),0)</f>
        <v>0</v>
      </c>
    </row>
    <row r="46" spans="1:9" ht="15.6" x14ac:dyDescent="0.3">
      <c r="A46" s="37" t="s">
        <v>9</v>
      </c>
      <c r="C46" s="38">
        <v>30392</v>
      </c>
      <c r="D46" s="2" t="s">
        <v>95</v>
      </c>
      <c r="E46" s="2" t="s">
        <v>12</v>
      </c>
      <c r="F46"/>
      <c r="G46" t="str">
        <f t="shared" si="3"/>
        <v>Azul</v>
      </c>
      <c r="H46" t="e">
        <f>IF(G46="Rojas",VLOOKUP(F46,#REF!,3,TRUE),IF(G46="Azul",VLOOKUP(F46,#REF!,3,TRUE),VLOOKUP(F46,#REF!,3,TRUE)))</f>
        <v>#REF!</v>
      </c>
      <c r="I46" s="9">
        <f>IFERROR(VLOOKUP(C46,Palmares!#REF!,4,FALSE),0)</f>
        <v>0</v>
      </c>
    </row>
    <row r="47" spans="1:9" ht="15.6" x14ac:dyDescent="0.3">
      <c r="A47" s="39" t="s">
        <v>9</v>
      </c>
      <c r="C47" s="1">
        <v>30088</v>
      </c>
      <c r="D47" s="2" t="s">
        <v>96</v>
      </c>
      <c r="E47" s="2" t="s">
        <v>97</v>
      </c>
      <c r="F47"/>
      <c r="G47" t="str">
        <f t="shared" si="3"/>
        <v>Azul</v>
      </c>
      <c r="H47" t="e">
        <f>IF(G47="Rojas",VLOOKUP(F47,#REF!,3,TRUE),IF(G47="Azul",VLOOKUP(F47,#REF!,3,TRUE),VLOOKUP(F47,#REF!,3,TRUE)))</f>
        <v>#REF!</v>
      </c>
      <c r="I47" s="9">
        <f>IFERROR(VLOOKUP(C47,Palmares!#REF!,4,FALSE),0)</f>
        <v>0</v>
      </c>
    </row>
    <row r="48" spans="1:9" ht="15.6" x14ac:dyDescent="0.3">
      <c r="A48" s="2" t="s">
        <v>9</v>
      </c>
      <c r="C48" s="3">
        <v>5611</v>
      </c>
      <c r="D48" s="2" t="s">
        <v>98</v>
      </c>
      <c r="E48" s="2" t="s">
        <v>99</v>
      </c>
      <c r="F48"/>
      <c r="G48" t="str">
        <f t="shared" si="3"/>
        <v>Azul</v>
      </c>
      <c r="H48" t="e">
        <f>IF(G48="Rojas",VLOOKUP(F48,#REF!,3,TRUE),IF(G48="Azul",VLOOKUP(F48,#REF!,3,TRUE),VLOOKUP(F48,#REF!,3,TRUE)))</f>
        <v>#REF!</v>
      </c>
      <c r="I48" s="9">
        <f>IFERROR(VLOOKUP(C48,Palmares!#REF!,4,FALSE),0)</f>
        <v>0</v>
      </c>
    </row>
    <row r="49" spans="1:9" ht="15.6" x14ac:dyDescent="0.3">
      <c r="A49" s="36" t="s">
        <v>9</v>
      </c>
      <c r="C49" s="1">
        <v>2344</v>
      </c>
      <c r="D49" s="2" t="s">
        <v>100</v>
      </c>
      <c r="E49" s="2" t="s">
        <v>101</v>
      </c>
      <c r="F49"/>
      <c r="G49" t="str">
        <f t="shared" si="3"/>
        <v>Azul</v>
      </c>
      <c r="H49" t="e">
        <f>IF(G49="Rojas",VLOOKUP(F49,#REF!,3,TRUE),IF(G49="Azul",VLOOKUP(F49,#REF!,3,TRUE),VLOOKUP(F49,#REF!,3,TRUE)))</f>
        <v>#REF!</v>
      </c>
      <c r="I49" s="9">
        <f>IFERROR(VLOOKUP(C49,Palmares!#REF!,4,FALSE),0)</f>
        <v>0</v>
      </c>
    </row>
    <row r="50" spans="1:9" ht="15.6" x14ac:dyDescent="0.3">
      <c r="A50" s="37" t="s">
        <v>9</v>
      </c>
      <c r="C50" s="1">
        <v>2348</v>
      </c>
      <c r="D50" s="2" t="s">
        <v>100</v>
      </c>
      <c r="E50" s="2" t="s">
        <v>102</v>
      </c>
      <c r="F50"/>
      <c r="G50" t="str">
        <f t="shared" si="3"/>
        <v>Azul</v>
      </c>
      <c r="H50" t="e">
        <f>IF(G50="Rojas",VLOOKUP(F50,#REF!,3,TRUE),IF(G50="Azul",VLOOKUP(F50,#REF!,3,TRUE),VLOOKUP(F50,#REF!,3,TRUE)))</f>
        <v>#REF!</v>
      </c>
      <c r="I50" s="9">
        <f>IFERROR(VLOOKUP(C50,Palmares!#REF!,4,FALSE),0)</f>
        <v>0</v>
      </c>
    </row>
    <row r="51" spans="1:9" ht="15.6" x14ac:dyDescent="0.3">
      <c r="A51" s="37" t="s">
        <v>9</v>
      </c>
      <c r="C51" s="1">
        <v>2339</v>
      </c>
      <c r="D51" s="2" t="s">
        <v>103</v>
      </c>
      <c r="E51" s="2" t="s">
        <v>104</v>
      </c>
      <c r="F51"/>
      <c r="G51" t="str">
        <f t="shared" si="3"/>
        <v>Azul</v>
      </c>
      <c r="H51" t="e">
        <f>IF(G51="Rojas",VLOOKUP(F51,#REF!,3,TRUE),IF(G51="Azul",VLOOKUP(F51,#REF!,3,TRUE),VLOOKUP(F51,#REF!,3,TRUE)))</f>
        <v>#REF!</v>
      </c>
      <c r="I51" s="9">
        <f>IFERROR(VLOOKUP(C51,Palmares!#REF!,4,FALSE),0)</f>
        <v>0</v>
      </c>
    </row>
    <row r="52" spans="1:9" ht="15.6" x14ac:dyDescent="0.3">
      <c r="A52" s="37" t="s">
        <v>17</v>
      </c>
      <c r="B52">
        <v>2</v>
      </c>
      <c r="C52" s="1">
        <v>32142</v>
      </c>
      <c r="D52" s="41" t="s">
        <v>47</v>
      </c>
      <c r="E52" s="2" t="s">
        <v>48</v>
      </c>
      <c r="F52" s="9">
        <v>23.4</v>
      </c>
      <c r="G52" t="str">
        <f>IF(A52="Damas","Rojas",IF(F52&lt;18.8,"Azul","Blanca"))</f>
        <v>Blanca</v>
      </c>
      <c r="H52" t="e">
        <f>IF(G52="Rojas",VLOOKUP(F52,#REF!,3,TRUE),IF(G52="Azul",VLOOKUP(F52,#REF!,3,TRUE),VLOOKUP(F52,#REF!,3,TRUE)))</f>
        <v>#REF!</v>
      </c>
      <c r="I52" s="9">
        <f>IFERROR(VLOOKUP(C52,Palmares!#REF!,4,FALSE),0)</f>
        <v>0</v>
      </c>
    </row>
    <row r="53" spans="1:9" ht="15.6" x14ac:dyDescent="0.3">
      <c r="A53" s="37" t="s">
        <v>17</v>
      </c>
      <c r="B53">
        <v>2</v>
      </c>
      <c r="C53" s="1">
        <v>18411</v>
      </c>
      <c r="D53" s="41" t="s">
        <v>28</v>
      </c>
      <c r="E53" s="2" t="s">
        <v>29</v>
      </c>
      <c r="F53" s="9">
        <v>24.2</v>
      </c>
      <c r="G53" t="str">
        <f>IF(A53="Damas","Rojas",IF(F53&lt;18.8,"Azul","Blanca"))</f>
        <v>Blanca</v>
      </c>
      <c r="H53" t="e">
        <f>IF(G53="Rojas",VLOOKUP(F53,#REF!,3,TRUE),IF(G53="Azul",VLOOKUP(F53,#REF!,3,TRUE),VLOOKUP(F53,#REF!,3,TRUE)))</f>
        <v>#REF!</v>
      </c>
      <c r="I53" s="9">
        <f>IFERROR(VLOOKUP(C53,Palmares!#REF!,4,FALSE),0)</f>
        <v>0</v>
      </c>
    </row>
    <row r="54" spans="1:9" ht="15.6" x14ac:dyDescent="0.3">
      <c r="A54" s="37" t="s">
        <v>17</v>
      </c>
      <c r="B54">
        <v>2</v>
      </c>
      <c r="C54" s="1">
        <v>8473</v>
      </c>
      <c r="D54" s="41" t="s">
        <v>58</v>
      </c>
      <c r="E54" s="2" t="s">
        <v>59</v>
      </c>
      <c r="F54" s="9">
        <v>24.9</v>
      </c>
      <c r="G54" t="str">
        <f>IF(A54="Damas","Rojas",IF(F54&lt;18.8,"Azul","Blanca"))</f>
        <v>Blanca</v>
      </c>
      <c r="H54" t="e">
        <f>IF(G54="Rojas",VLOOKUP(F54,#REF!,3,TRUE),IF(G54="Azul",VLOOKUP(F54,#REF!,3,TRUE),VLOOKUP(F54,#REF!,3,TRUE)))</f>
        <v>#REF!</v>
      </c>
      <c r="I54" s="9">
        <f>IFERROR(VLOOKUP(C54,Palmares!#REF!,4,FALSE),0)</f>
        <v>0</v>
      </c>
    </row>
    <row r="55" spans="1:9" ht="15.6" x14ac:dyDescent="0.3">
      <c r="A55" s="37" t="s">
        <v>9</v>
      </c>
      <c r="C55" s="38">
        <v>3551</v>
      </c>
      <c r="D55" s="2" t="s">
        <v>110</v>
      </c>
      <c r="E55" s="2" t="s">
        <v>111</v>
      </c>
      <c r="F55"/>
      <c r="G55" t="str">
        <f>+IF(F55&lt;18.8,"Azul","Blanca")</f>
        <v>Azul</v>
      </c>
      <c r="H55" t="e">
        <f>IF(G55="Rojas",VLOOKUP(F55,#REF!,3,TRUE),IF(G55="Azul",VLOOKUP(F55,#REF!,3,TRUE),VLOOKUP(F55,#REF!,3,TRUE)))</f>
        <v>#REF!</v>
      </c>
      <c r="I55" s="9">
        <f>IFERROR(VLOOKUP(C55,Palmares!#REF!,4,FALSE),0)</f>
        <v>0</v>
      </c>
    </row>
    <row r="56" spans="1:9" ht="15.6" x14ac:dyDescent="0.3">
      <c r="A56" s="37" t="s">
        <v>9</v>
      </c>
      <c r="C56" s="1">
        <v>2734</v>
      </c>
      <c r="D56" s="2" t="s">
        <v>112</v>
      </c>
      <c r="E56" s="2" t="s">
        <v>113</v>
      </c>
      <c r="F56"/>
      <c r="G56" t="str">
        <f>+IF(F56&lt;18.8,"Azul","Blanca")</f>
        <v>Azul</v>
      </c>
      <c r="H56" t="e">
        <f>IF(G56="Rojas",VLOOKUP(F56,#REF!,3,TRUE),IF(G56="Azul",VLOOKUP(F56,#REF!,3,TRUE),VLOOKUP(F56,#REF!,3,TRUE)))</f>
        <v>#REF!</v>
      </c>
      <c r="I56" s="9">
        <f>IFERROR(VLOOKUP(C56,Palmares!#REF!,4,FALSE),0)</f>
        <v>0</v>
      </c>
    </row>
    <row r="57" spans="1:9" ht="15.6" x14ac:dyDescent="0.3">
      <c r="A57" s="37" t="s">
        <v>9</v>
      </c>
      <c r="C57" s="1">
        <v>2733</v>
      </c>
      <c r="D57" s="2" t="s">
        <v>112</v>
      </c>
      <c r="E57" s="2" t="s">
        <v>69</v>
      </c>
      <c r="F57"/>
      <c r="G57" t="str">
        <f>+IF(F57&lt;18.8,"Azul","Blanca")</f>
        <v>Azul</v>
      </c>
      <c r="H57" t="e">
        <f>IF(G57="Rojas",VLOOKUP(F57,#REF!,3,TRUE),IF(G57="Azul",VLOOKUP(F57,#REF!,3,TRUE),VLOOKUP(F57,#REF!,3,TRUE)))</f>
        <v>#REF!</v>
      </c>
      <c r="I57" s="9">
        <f>IFERROR(VLOOKUP(C57,Palmares!#REF!,4,FALSE),0)</f>
        <v>0</v>
      </c>
    </row>
    <row r="58" spans="1:9" ht="15.6" x14ac:dyDescent="0.3">
      <c r="A58" s="37" t="s">
        <v>9</v>
      </c>
      <c r="C58" s="1">
        <v>2729</v>
      </c>
      <c r="D58" s="2" t="s">
        <v>114</v>
      </c>
      <c r="E58" s="2" t="s">
        <v>115</v>
      </c>
      <c r="F58"/>
      <c r="G58" t="str">
        <f>+IF(F58&lt;18.8,"Azul","Blanca")</f>
        <v>Azul</v>
      </c>
      <c r="H58" t="e">
        <f>IF(G58="Rojas",VLOOKUP(F58,#REF!,3,TRUE),IF(G58="Azul",VLOOKUP(F58,#REF!,3,TRUE),VLOOKUP(F58,#REF!,3,TRUE)))</f>
        <v>#REF!</v>
      </c>
      <c r="I58" s="9">
        <f>IFERROR(VLOOKUP(C58,Palmares!#REF!,4,FALSE),0)</f>
        <v>0</v>
      </c>
    </row>
    <row r="59" spans="1:9" ht="15.6" x14ac:dyDescent="0.3">
      <c r="A59" s="39" t="s">
        <v>9</v>
      </c>
      <c r="C59" s="1">
        <v>2837</v>
      </c>
      <c r="D59" s="2" t="s">
        <v>116</v>
      </c>
      <c r="E59" s="2" t="s">
        <v>117</v>
      </c>
      <c r="F59"/>
      <c r="G59" t="str">
        <f>+IF(F59&lt;18.8,"Azul","Blanca")</f>
        <v>Azul</v>
      </c>
      <c r="H59" t="e">
        <f>IF(G59="Rojas",VLOOKUP(F59,#REF!,3,TRUE),IF(G59="Azul",VLOOKUP(F59,#REF!,3,TRUE),VLOOKUP(F59,#REF!,3,TRUE)))</f>
        <v>#REF!</v>
      </c>
      <c r="I59" s="9">
        <f>IFERROR(VLOOKUP(C59,Palmares!#REF!,4,FALSE),0)</f>
        <v>0</v>
      </c>
    </row>
    <row r="60" spans="1:9" ht="15.6" x14ac:dyDescent="0.3">
      <c r="A60" s="2" t="s">
        <v>51</v>
      </c>
      <c r="B60">
        <v>2</v>
      </c>
      <c r="C60" s="1">
        <v>32313</v>
      </c>
      <c r="D60" s="41" t="s">
        <v>341</v>
      </c>
      <c r="E60" s="2" t="s">
        <v>369</v>
      </c>
      <c r="F60" s="9">
        <v>24</v>
      </c>
      <c r="G60" t="str">
        <f>IF(A60="Damas","Rojas",IF(F60&lt;18.8,"Azul","Blanca"))</f>
        <v>Rojas</v>
      </c>
      <c r="H60" t="e">
        <f>IF(G60="Rojas",VLOOKUP(F60,#REF!,3,TRUE),IF(G60="Azul",VLOOKUP(F60,#REF!,3,TRUE),VLOOKUP(F60,#REF!,3,TRUE)))</f>
        <v>#REF!</v>
      </c>
      <c r="I60" s="9">
        <f>IFERROR(VLOOKUP(C60,Palmares!#REF!,4,FALSE),0)</f>
        <v>0</v>
      </c>
    </row>
    <row r="61" spans="1:9" ht="15.6" x14ac:dyDescent="0.3">
      <c r="A61" s="36" t="s">
        <v>17</v>
      </c>
      <c r="B61">
        <v>3</v>
      </c>
      <c r="C61" s="1">
        <v>16552</v>
      </c>
      <c r="D61" s="41" t="s">
        <v>272</v>
      </c>
      <c r="E61" s="2" t="s">
        <v>273</v>
      </c>
      <c r="F61" s="9">
        <v>11.7</v>
      </c>
      <c r="G61" t="str">
        <f>IF(A61="Damas","Rojas",IF(F61&lt;18.8,"Azul","Blanca"))</f>
        <v>Azul</v>
      </c>
      <c r="H61" t="e">
        <f>IF(G61="Rojas",VLOOKUP(F61,#REF!,3,TRUE),IF(G61="Azul",VLOOKUP(F61,#REF!,3,TRUE),VLOOKUP(F61,#REF!,3,TRUE)))</f>
        <v>#REF!</v>
      </c>
      <c r="I61" s="9">
        <f>IFERROR(VLOOKUP(C61,Palmares!#REF!,4,FALSE),0)</f>
        <v>0</v>
      </c>
    </row>
    <row r="62" spans="1:9" ht="15.6" x14ac:dyDescent="0.3">
      <c r="A62" s="37" t="s">
        <v>9</v>
      </c>
      <c r="C62" s="38">
        <v>27976</v>
      </c>
      <c r="D62" s="2" t="s">
        <v>122</v>
      </c>
      <c r="E62" s="2" t="s">
        <v>123</v>
      </c>
      <c r="F62"/>
      <c r="G62" t="str">
        <f t="shared" ref="G62:G75" si="4">+IF(F62&lt;18.8,"Azul","Blanca")</f>
        <v>Azul</v>
      </c>
      <c r="H62" t="e">
        <f>IF(G62="Rojas",VLOOKUP(F62,#REF!,3,TRUE),IF(G62="Azul",VLOOKUP(F62,#REF!,3,TRUE),VLOOKUP(F62,#REF!,3,TRUE)))</f>
        <v>#REF!</v>
      </c>
      <c r="I62" s="9">
        <f>IFERROR(VLOOKUP(C62,Palmares!#REF!,4,FALSE),0)</f>
        <v>0</v>
      </c>
    </row>
    <row r="63" spans="1:9" ht="15.6" x14ac:dyDescent="0.3">
      <c r="A63" s="39" t="s">
        <v>9</v>
      </c>
      <c r="C63" s="38">
        <v>3022</v>
      </c>
      <c r="D63" s="2" t="s">
        <v>124</v>
      </c>
      <c r="E63" s="2" t="s">
        <v>125</v>
      </c>
      <c r="F63"/>
      <c r="G63" t="str">
        <f t="shared" si="4"/>
        <v>Azul</v>
      </c>
      <c r="H63" t="e">
        <f>IF(G63="Rojas",VLOOKUP(F63,#REF!,3,TRUE),IF(G63="Azul",VLOOKUP(F63,#REF!,3,TRUE),VLOOKUP(F63,#REF!,3,TRUE)))</f>
        <v>#REF!</v>
      </c>
      <c r="I63" s="9">
        <f>IFERROR(VLOOKUP(C63,Palmares!#REF!,4,FALSE),0)</f>
        <v>0</v>
      </c>
    </row>
    <row r="64" spans="1:9" ht="15.6" x14ac:dyDescent="0.3">
      <c r="A64" s="2" t="s">
        <v>9</v>
      </c>
      <c r="C64" s="1">
        <v>18635</v>
      </c>
      <c r="D64" s="2" t="s">
        <v>126</v>
      </c>
      <c r="E64" s="2" t="s">
        <v>127</v>
      </c>
      <c r="F64"/>
      <c r="G64" t="str">
        <f t="shared" si="4"/>
        <v>Azul</v>
      </c>
      <c r="H64" t="e">
        <f>IF(G64="Rojas",VLOOKUP(F64,#REF!,3,TRUE),IF(G64="Azul",VLOOKUP(F64,#REF!,3,TRUE),VLOOKUP(F64,#REF!,3,TRUE)))</f>
        <v>#REF!</v>
      </c>
      <c r="I64" s="9">
        <f>IFERROR(VLOOKUP(C64,Palmares!#REF!,4,FALSE),0)</f>
        <v>0</v>
      </c>
    </row>
    <row r="65" spans="1:9" ht="15.6" x14ac:dyDescent="0.3">
      <c r="A65" s="36" t="s">
        <v>9</v>
      </c>
      <c r="C65" s="4">
        <v>25574</v>
      </c>
      <c r="D65" s="5" t="s">
        <v>128</v>
      </c>
      <c r="E65" s="5" t="s">
        <v>129</v>
      </c>
      <c r="F65" s="9">
        <v>8.8000000000000007</v>
      </c>
      <c r="G65" t="str">
        <f t="shared" si="4"/>
        <v>Azul</v>
      </c>
      <c r="H65" t="e">
        <f>IF(G65="Rojas",VLOOKUP(F65,#REF!,3,TRUE),IF(G65="Azul",VLOOKUP(F65,#REF!,3,TRUE),VLOOKUP(F65,#REF!,3,TRUE)))</f>
        <v>#REF!</v>
      </c>
      <c r="I65" s="9">
        <f>IFERROR(VLOOKUP(C65,Palmares!#REF!,4,FALSE),0)</f>
        <v>0</v>
      </c>
    </row>
    <row r="66" spans="1:9" ht="15.6" x14ac:dyDescent="0.3">
      <c r="A66" s="37" t="s">
        <v>9</v>
      </c>
      <c r="C66" s="1">
        <v>15244</v>
      </c>
      <c r="D66" s="2" t="s">
        <v>130</v>
      </c>
      <c r="E66" s="2" t="s">
        <v>131</v>
      </c>
      <c r="F66"/>
      <c r="G66" t="str">
        <f t="shared" si="4"/>
        <v>Azul</v>
      </c>
      <c r="H66" t="e">
        <f>IF(G66="Rojas",VLOOKUP(F66,#REF!,3,TRUE),IF(G66="Azul",VLOOKUP(F66,#REF!,3,TRUE),VLOOKUP(F66,#REF!,3,TRUE)))</f>
        <v>#REF!</v>
      </c>
      <c r="I66" s="9">
        <f>IFERROR(VLOOKUP(C66,Palmares!#REF!,4,FALSE),0)</f>
        <v>0</v>
      </c>
    </row>
    <row r="67" spans="1:9" ht="15.6" x14ac:dyDescent="0.3">
      <c r="A67" s="37" t="s">
        <v>9</v>
      </c>
      <c r="C67" s="1">
        <v>24477</v>
      </c>
      <c r="D67" s="2" t="s">
        <v>132</v>
      </c>
      <c r="E67" s="2" t="s">
        <v>133</v>
      </c>
      <c r="F67"/>
      <c r="G67" t="str">
        <f t="shared" si="4"/>
        <v>Azul</v>
      </c>
      <c r="H67" t="e">
        <f>IF(G67="Rojas",VLOOKUP(F67,#REF!,3,TRUE),IF(G67="Azul",VLOOKUP(F67,#REF!,3,TRUE),VLOOKUP(F67,#REF!,3,TRUE)))</f>
        <v>#REF!</v>
      </c>
      <c r="I67" s="9">
        <f>IFERROR(VLOOKUP(C67,Palmares!#REF!,4,FALSE),0)</f>
        <v>0</v>
      </c>
    </row>
    <row r="68" spans="1:9" ht="15.6" x14ac:dyDescent="0.3">
      <c r="A68" s="39" t="s">
        <v>9</v>
      </c>
      <c r="C68" s="1">
        <v>3525</v>
      </c>
      <c r="D68" s="2" t="s">
        <v>134</v>
      </c>
      <c r="E68" s="2" t="s">
        <v>135</v>
      </c>
      <c r="F68"/>
      <c r="G68" t="str">
        <f t="shared" si="4"/>
        <v>Azul</v>
      </c>
      <c r="H68" t="e">
        <f>IF(G68="Rojas",VLOOKUP(F68,#REF!,3,TRUE),IF(G68="Azul",VLOOKUP(F68,#REF!,3,TRUE),VLOOKUP(F68,#REF!,3,TRUE)))</f>
        <v>#REF!</v>
      </c>
      <c r="I68" s="9">
        <f>IFERROR(VLOOKUP(C68,Palmares!#REF!,4,FALSE),0)</f>
        <v>0</v>
      </c>
    </row>
    <row r="69" spans="1:9" ht="15.6" x14ac:dyDescent="0.3">
      <c r="A69" s="2" t="s">
        <v>17</v>
      </c>
      <c r="C69" s="1">
        <v>12331</v>
      </c>
      <c r="D69" s="2" t="s">
        <v>136</v>
      </c>
      <c r="E69" s="2" t="s">
        <v>137</v>
      </c>
      <c r="F69" s="9">
        <v>18.7</v>
      </c>
      <c r="G69" t="str">
        <f t="shared" si="4"/>
        <v>Azul</v>
      </c>
      <c r="H69" t="e">
        <f>IF(G69="Rojas",VLOOKUP(F69,#REF!,3,TRUE),IF(G69="Azul",VLOOKUP(F69,#REF!,3,TRUE),VLOOKUP(F69,#REF!,3,TRUE)))</f>
        <v>#REF!</v>
      </c>
      <c r="I69" s="9">
        <f>IFERROR(VLOOKUP(C69,Palmares!#REF!,4,FALSE),0)</f>
        <v>0</v>
      </c>
    </row>
    <row r="70" spans="1:9" ht="15.6" x14ac:dyDescent="0.3">
      <c r="A70" s="2" t="s">
        <v>9</v>
      </c>
      <c r="C70" s="38">
        <v>27974</v>
      </c>
      <c r="D70" s="2" t="s">
        <v>138</v>
      </c>
      <c r="E70" s="2" t="s">
        <v>139</v>
      </c>
      <c r="F70"/>
      <c r="G70" t="str">
        <f t="shared" si="4"/>
        <v>Azul</v>
      </c>
      <c r="H70" t="e">
        <f>IF(G70="Rojas",VLOOKUP(F70,#REF!,3,TRUE),IF(G70="Azul",VLOOKUP(F70,#REF!,3,TRUE),VLOOKUP(F70,#REF!,3,TRUE)))</f>
        <v>#REF!</v>
      </c>
      <c r="I70" s="9">
        <f>IFERROR(VLOOKUP(C70,Palmares!#REF!,4,FALSE),0)</f>
        <v>0</v>
      </c>
    </row>
    <row r="71" spans="1:9" ht="15.6" x14ac:dyDescent="0.3">
      <c r="A71" s="40" t="s">
        <v>17</v>
      </c>
      <c r="B71">
        <v>3</v>
      </c>
      <c r="C71" s="1">
        <v>31818</v>
      </c>
      <c r="D71" s="41" t="s">
        <v>235</v>
      </c>
      <c r="E71" s="2" t="s">
        <v>236</v>
      </c>
      <c r="F71" s="9">
        <v>15.4</v>
      </c>
      <c r="G71" t="str">
        <f t="shared" si="4"/>
        <v>Azul</v>
      </c>
      <c r="H71" t="e">
        <f>IF(G71="Rojas",VLOOKUP(F71,#REF!,3,TRUE),IF(G71="Azul",VLOOKUP(F71,#REF!,3,TRUE),VLOOKUP(F71,#REF!,3,TRUE)))</f>
        <v>#REF!</v>
      </c>
      <c r="I71" s="9">
        <f>IFERROR(VLOOKUP(C71,Palmares!#REF!,4,FALSE),0)</f>
        <v>0</v>
      </c>
    </row>
    <row r="72" spans="1:9" ht="15.6" x14ac:dyDescent="0.3">
      <c r="A72" s="2" t="s">
        <v>9</v>
      </c>
      <c r="C72" s="1">
        <v>3616</v>
      </c>
      <c r="D72" s="2" t="s">
        <v>141</v>
      </c>
      <c r="E72" s="2" t="s">
        <v>142</v>
      </c>
      <c r="F72"/>
      <c r="G72" t="str">
        <f t="shared" si="4"/>
        <v>Azul</v>
      </c>
      <c r="H72" t="e">
        <f>IF(G72="Rojas",VLOOKUP(F72,#REF!,3,TRUE),IF(G72="Azul",VLOOKUP(F72,#REF!,3,TRUE),VLOOKUP(F72,#REF!,3,TRUE)))</f>
        <v>#REF!</v>
      </c>
      <c r="I72" s="9">
        <f>IFERROR(VLOOKUP(C72,Palmares!#REF!,4,FALSE),0)</f>
        <v>0</v>
      </c>
    </row>
    <row r="73" spans="1:9" ht="15.6" x14ac:dyDescent="0.3">
      <c r="A73" s="36" t="s">
        <v>9</v>
      </c>
      <c r="C73" s="1">
        <v>25149</v>
      </c>
      <c r="D73" s="2" t="s">
        <v>143</v>
      </c>
      <c r="E73" s="2" t="s">
        <v>144</v>
      </c>
      <c r="F73"/>
      <c r="G73" t="str">
        <f t="shared" si="4"/>
        <v>Azul</v>
      </c>
      <c r="H73" t="e">
        <f>IF(G73="Rojas",VLOOKUP(F73,#REF!,3,TRUE),IF(G73="Azul",VLOOKUP(F73,#REF!,3,TRUE),VLOOKUP(F73,#REF!,3,TRUE)))</f>
        <v>#REF!</v>
      </c>
      <c r="I73" s="9">
        <f>IFERROR(VLOOKUP(C73,Palmares!#REF!,4,FALSE),0)</f>
        <v>0</v>
      </c>
    </row>
    <row r="74" spans="1:9" ht="15.6" x14ac:dyDescent="0.3">
      <c r="A74" s="37" t="s">
        <v>9</v>
      </c>
      <c r="C74" s="1">
        <v>3683</v>
      </c>
      <c r="D74" s="2" t="s">
        <v>145</v>
      </c>
      <c r="E74" s="2" t="s">
        <v>146</v>
      </c>
      <c r="F74"/>
      <c r="G74" t="str">
        <f t="shared" si="4"/>
        <v>Azul</v>
      </c>
      <c r="H74" t="e">
        <f>IF(G74="Rojas",VLOOKUP(F74,#REF!,3,TRUE),IF(G74="Azul",VLOOKUP(F74,#REF!,3,TRUE),VLOOKUP(F74,#REF!,3,TRUE)))</f>
        <v>#REF!</v>
      </c>
      <c r="I74" s="9">
        <f>IFERROR(VLOOKUP(C74,Palmares!#REF!,4,FALSE),0)</f>
        <v>0</v>
      </c>
    </row>
    <row r="75" spans="1:9" ht="15.6" x14ac:dyDescent="0.3">
      <c r="A75" s="37" t="s">
        <v>9</v>
      </c>
      <c r="C75" s="1">
        <v>3685</v>
      </c>
      <c r="D75" s="2" t="s">
        <v>147</v>
      </c>
      <c r="E75" s="2" t="s">
        <v>148</v>
      </c>
      <c r="F75"/>
      <c r="G75" t="str">
        <f t="shared" si="4"/>
        <v>Azul</v>
      </c>
      <c r="H75" t="e">
        <f>IF(G75="Rojas",VLOOKUP(F75,#REF!,3,TRUE),IF(G75="Azul",VLOOKUP(F75,#REF!,3,TRUE),VLOOKUP(F75,#REF!,3,TRUE)))</f>
        <v>#REF!</v>
      </c>
      <c r="I75" s="9">
        <f>IFERROR(VLOOKUP(C75,Palmares!#REF!,4,FALSE),0)</f>
        <v>0</v>
      </c>
    </row>
    <row r="76" spans="1:9" ht="15.6" x14ac:dyDescent="0.3">
      <c r="A76" s="37" t="s">
        <v>17</v>
      </c>
      <c r="B76">
        <v>3</v>
      </c>
      <c r="C76" s="1">
        <v>9446</v>
      </c>
      <c r="D76" s="41" t="s">
        <v>285</v>
      </c>
      <c r="E76" s="2" t="s">
        <v>286</v>
      </c>
      <c r="F76" s="9">
        <v>15.7</v>
      </c>
      <c r="G76" t="str">
        <f>IF(A76="Damas","Rojas",IF(F76&lt;18.8,"Azul","Blanca"))</f>
        <v>Azul</v>
      </c>
      <c r="H76" t="e">
        <f>IF(G76="Rojas",VLOOKUP(F76,#REF!,3,TRUE),IF(G76="Azul",VLOOKUP(F76,#REF!,3,TRUE),VLOOKUP(F76,#REF!,3,TRUE)))</f>
        <v>#REF!</v>
      </c>
      <c r="I76" s="9">
        <f>IFERROR(VLOOKUP(C76,Palmares!#REF!,4,FALSE),0)</f>
        <v>0</v>
      </c>
    </row>
    <row r="77" spans="1:9" ht="15.6" x14ac:dyDescent="0.3">
      <c r="A77" s="39" t="s">
        <v>17</v>
      </c>
      <c r="C77" s="1">
        <v>27435</v>
      </c>
      <c r="D77" s="2" t="s">
        <v>151</v>
      </c>
      <c r="E77" s="2" t="s">
        <v>152</v>
      </c>
      <c r="F77" s="9">
        <v>10.8</v>
      </c>
      <c r="G77" t="str">
        <f>+IF(F77&lt;18.8,"Azul","Blanca")</f>
        <v>Azul</v>
      </c>
      <c r="H77" t="e">
        <f>IF(G77="Rojas",VLOOKUP(F77,#REF!,3,TRUE),IF(G77="Azul",VLOOKUP(F77,#REF!,3,TRUE),VLOOKUP(F77,#REF!,3,TRUE)))</f>
        <v>#REF!</v>
      </c>
      <c r="I77" s="9">
        <f>IFERROR(VLOOKUP(C77,Palmares!#REF!,4,FALSE),0)</f>
        <v>0</v>
      </c>
    </row>
    <row r="78" spans="1:9" ht="15.6" x14ac:dyDescent="0.3">
      <c r="A78" s="2" t="s">
        <v>17</v>
      </c>
      <c r="B78">
        <v>3</v>
      </c>
      <c r="C78" s="1">
        <v>33116</v>
      </c>
      <c r="D78" s="41" t="s">
        <v>195</v>
      </c>
      <c r="E78" s="2" t="s">
        <v>196</v>
      </c>
      <c r="F78" s="9">
        <v>29</v>
      </c>
      <c r="G78" t="str">
        <f>+IF(F78&lt;18.8,"Azul","Blanca")</f>
        <v>Blanca</v>
      </c>
      <c r="H78" t="e">
        <f>IF(G78="Rojas",VLOOKUP(F78,#REF!,3,TRUE),IF(G78="Azul",VLOOKUP(F78,#REF!,3,TRUE),VLOOKUP(F78,#REF!,3,TRUE)))</f>
        <v>#REF!</v>
      </c>
      <c r="I78" s="9">
        <f>IFERROR(VLOOKUP(C78,Palmares!#REF!,4,FALSE),0)</f>
        <v>0</v>
      </c>
    </row>
    <row r="79" spans="1:9" ht="15.6" x14ac:dyDescent="0.3">
      <c r="A79" s="2" t="s">
        <v>9</v>
      </c>
      <c r="C79" s="1">
        <v>351</v>
      </c>
      <c r="D79" s="2" t="s">
        <v>155</v>
      </c>
      <c r="E79" s="2" t="s">
        <v>156</v>
      </c>
      <c r="F79"/>
      <c r="G79" t="str">
        <f>+IF(F79&lt;18.8,"Azul","Blanca")</f>
        <v>Azul</v>
      </c>
      <c r="H79" t="e">
        <f>IF(G79="Rojas",VLOOKUP(F79,#REF!,3,TRUE),IF(G79="Azul",VLOOKUP(F79,#REF!,3,TRUE),VLOOKUP(F79,#REF!,3,TRUE)))</f>
        <v>#REF!</v>
      </c>
      <c r="I79" s="9">
        <f>IFERROR(VLOOKUP(C79,Palmares!#REF!,4,FALSE),0)</f>
        <v>0</v>
      </c>
    </row>
    <row r="80" spans="1:9" ht="15.6" x14ac:dyDescent="0.3">
      <c r="A80" s="36" t="s">
        <v>51</v>
      </c>
      <c r="C80" s="1">
        <v>4024</v>
      </c>
      <c r="D80" s="2" t="s">
        <v>370</v>
      </c>
      <c r="E80" s="2" t="s">
        <v>371</v>
      </c>
      <c r="F80" s="9">
        <v>15.9</v>
      </c>
      <c r="G80" t="str">
        <f>IF(A80="Damas","Rojas",IF(F80&lt;18.8,"Azul","Blanca"))</f>
        <v>Rojas</v>
      </c>
      <c r="H80" t="e">
        <f>IF(G80="Rojas",VLOOKUP(F80,#REF!,3,TRUE),IF(G80="Azul",VLOOKUP(F80,#REF!,3,TRUE),VLOOKUP(F80,#REF!,3,TRUE)))</f>
        <v>#REF!</v>
      </c>
      <c r="I80" s="9">
        <f>IFERROR(VLOOKUP(C80,Palmares!#REF!,4,FALSE),0)</f>
        <v>0</v>
      </c>
    </row>
    <row r="81" spans="1:9" ht="15.6" x14ac:dyDescent="0.3">
      <c r="A81" s="39" t="s">
        <v>9</v>
      </c>
      <c r="C81" s="1">
        <v>4094</v>
      </c>
      <c r="D81" s="2" t="s">
        <v>159</v>
      </c>
      <c r="E81" s="2" t="s">
        <v>61</v>
      </c>
      <c r="F81"/>
      <c r="G81" t="str">
        <f>+IF(F81&lt;18.8,"Azul","Blanca")</f>
        <v>Azul</v>
      </c>
      <c r="H81" t="e">
        <f>IF(G81="Rojas",VLOOKUP(F81,#REF!,3,TRUE),IF(G81="Azul",VLOOKUP(F81,#REF!,3,TRUE),VLOOKUP(F81,#REF!,3,TRUE)))</f>
        <v>#REF!</v>
      </c>
      <c r="I81" s="9">
        <f>IFERROR(VLOOKUP(C81,Palmares!#REF!,4,FALSE),0)</f>
        <v>0</v>
      </c>
    </row>
    <row r="82" spans="1:9" ht="15.6" x14ac:dyDescent="0.3">
      <c r="A82" s="2" t="s">
        <v>9</v>
      </c>
      <c r="C82" s="1">
        <v>4125</v>
      </c>
      <c r="D82" s="2" t="s">
        <v>160</v>
      </c>
      <c r="E82" s="2" t="s">
        <v>161</v>
      </c>
      <c r="F82"/>
      <c r="G82" t="str">
        <f>+IF(F82&lt;18.8,"Azul","Blanca")</f>
        <v>Azul</v>
      </c>
      <c r="H82" t="e">
        <f>IF(G82="Rojas",VLOOKUP(F82,#REF!,3,TRUE),IF(G82="Azul",VLOOKUP(F82,#REF!,3,TRUE),VLOOKUP(F82,#REF!,3,TRUE)))</f>
        <v>#REF!</v>
      </c>
      <c r="I82" s="9">
        <f>IFERROR(VLOOKUP(C82,Palmares!#REF!,4,FALSE),0)</f>
        <v>0</v>
      </c>
    </row>
    <row r="83" spans="1:9" ht="15.6" x14ac:dyDescent="0.3">
      <c r="A83" s="36" t="s">
        <v>9</v>
      </c>
      <c r="C83" s="1">
        <v>30102</v>
      </c>
      <c r="D83" s="2" t="s">
        <v>162</v>
      </c>
      <c r="E83" s="2" t="s">
        <v>163</v>
      </c>
      <c r="F83"/>
      <c r="G83" t="str">
        <f>+IF(F83&lt;18.8,"Azul","Blanca")</f>
        <v>Azul</v>
      </c>
      <c r="H83" t="e">
        <f>IF(G83="Rojas",VLOOKUP(F83,#REF!,3,TRUE),IF(G83="Azul",VLOOKUP(F83,#REF!,3,TRUE),VLOOKUP(F83,#REF!,3,TRUE)))</f>
        <v>#REF!</v>
      </c>
      <c r="I83" s="9">
        <f>IFERROR(VLOOKUP(C83,Palmares!#REF!,4,FALSE),0)</f>
        <v>0</v>
      </c>
    </row>
    <row r="84" spans="1:9" ht="15.6" x14ac:dyDescent="0.3">
      <c r="A84" s="37" t="s">
        <v>9</v>
      </c>
      <c r="C84" s="1">
        <v>25354</v>
      </c>
      <c r="D84" s="2" t="s">
        <v>164</v>
      </c>
      <c r="E84" s="2" t="s">
        <v>165</v>
      </c>
      <c r="F84"/>
      <c r="G84" t="str">
        <f>+IF(F84&lt;18.8,"Azul","Blanca")</f>
        <v>Azul</v>
      </c>
      <c r="H84" t="e">
        <f>IF(G84="Rojas",VLOOKUP(F84,#REF!,3,TRUE),IF(G84="Azul",VLOOKUP(F84,#REF!,3,TRUE),VLOOKUP(F84,#REF!,3,TRUE)))</f>
        <v>#REF!</v>
      </c>
      <c r="I84" s="9">
        <f>IFERROR(VLOOKUP(C84,Palmares!#REF!,4,FALSE),0)</f>
        <v>0</v>
      </c>
    </row>
    <row r="85" spans="1:9" ht="15.6" x14ac:dyDescent="0.3">
      <c r="A85" s="39" t="s">
        <v>17</v>
      </c>
      <c r="B85">
        <v>4</v>
      </c>
      <c r="C85" s="1">
        <v>3936</v>
      </c>
      <c r="D85" s="41" t="s">
        <v>218</v>
      </c>
      <c r="E85" s="2" t="s">
        <v>219</v>
      </c>
      <c r="F85" s="9">
        <v>15.3</v>
      </c>
      <c r="G85" t="str">
        <f>IF(A85="Damas","Rojas",IF(F85&lt;18.8,"Azul","Blanca"))</f>
        <v>Azul</v>
      </c>
      <c r="H85" t="e">
        <f>IF(G85="Rojas",VLOOKUP(F85,#REF!,3,TRUE),IF(G85="Azul",VLOOKUP(F85,#REF!,3,TRUE),VLOOKUP(F85,#REF!,3,TRUE)))</f>
        <v>#REF!</v>
      </c>
      <c r="I85" s="9">
        <f>IFERROR(VLOOKUP(C85,Palmares!#REF!,4,FALSE),0)</f>
        <v>0</v>
      </c>
    </row>
    <row r="86" spans="1:9" ht="15.6" x14ac:dyDescent="0.3">
      <c r="A86" s="2" t="s">
        <v>9</v>
      </c>
      <c r="C86" s="1">
        <v>31601</v>
      </c>
      <c r="D86" s="2" t="s">
        <v>168</v>
      </c>
      <c r="E86" s="2" t="s">
        <v>29</v>
      </c>
      <c r="F86"/>
      <c r="G86" t="str">
        <f t="shared" ref="G86:G96" si="5">+IF(F86&lt;18.8,"Azul","Blanca")</f>
        <v>Azul</v>
      </c>
      <c r="H86" t="e">
        <f>IF(G86="Rojas",VLOOKUP(F86,#REF!,3,TRUE),IF(G86="Azul",VLOOKUP(F86,#REF!,3,TRUE),VLOOKUP(F86,#REF!,3,TRUE)))</f>
        <v>#REF!</v>
      </c>
      <c r="I86" s="9">
        <f>IFERROR(VLOOKUP(C86,Palmares!#REF!,4,FALSE),0)</f>
        <v>0</v>
      </c>
    </row>
    <row r="87" spans="1:9" ht="15.6" x14ac:dyDescent="0.3">
      <c r="A87" s="2" t="s">
        <v>9</v>
      </c>
      <c r="C87" s="1">
        <v>4488</v>
      </c>
      <c r="D87" s="2" t="s">
        <v>169</v>
      </c>
      <c r="E87" s="2" t="s">
        <v>170</v>
      </c>
      <c r="F87"/>
      <c r="G87" t="str">
        <f t="shared" si="5"/>
        <v>Azul</v>
      </c>
      <c r="H87" t="e">
        <f>IF(G87="Rojas",VLOOKUP(F87,#REF!,3,TRUE),IF(G87="Azul",VLOOKUP(F87,#REF!,3,TRUE),VLOOKUP(F87,#REF!,3,TRUE)))</f>
        <v>#REF!</v>
      </c>
      <c r="I87" s="9">
        <f>IFERROR(VLOOKUP(C87,Palmares!#REF!,4,FALSE),0)</f>
        <v>0</v>
      </c>
    </row>
    <row r="88" spans="1:9" ht="15.6" x14ac:dyDescent="0.3">
      <c r="A88" s="36" t="s">
        <v>9</v>
      </c>
      <c r="C88" s="1">
        <v>13266</v>
      </c>
      <c r="D88" s="2" t="s">
        <v>171</v>
      </c>
      <c r="E88" s="2" t="s">
        <v>172</v>
      </c>
      <c r="F88"/>
      <c r="G88" t="str">
        <f t="shared" si="5"/>
        <v>Azul</v>
      </c>
      <c r="H88" t="e">
        <f>IF(G88="Rojas",VLOOKUP(F88,#REF!,3,TRUE),IF(G88="Azul",VLOOKUP(F88,#REF!,3,TRUE),VLOOKUP(F88,#REF!,3,TRUE)))</f>
        <v>#REF!</v>
      </c>
      <c r="I88" s="9">
        <f>IFERROR(VLOOKUP(C88,Palmares!#REF!,4,FALSE),0)</f>
        <v>0</v>
      </c>
    </row>
    <row r="89" spans="1:9" ht="15.6" x14ac:dyDescent="0.3">
      <c r="A89" s="39" t="s">
        <v>9</v>
      </c>
      <c r="C89" s="1">
        <v>28528</v>
      </c>
      <c r="D89" s="2" t="s">
        <v>173</v>
      </c>
      <c r="E89" s="2" t="s">
        <v>174</v>
      </c>
      <c r="F89"/>
      <c r="G89" t="str">
        <f t="shared" si="5"/>
        <v>Azul</v>
      </c>
      <c r="H89" t="e">
        <f>IF(G89="Rojas",VLOOKUP(F89,#REF!,3,TRUE),IF(G89="Azul",VLOOKUP(F89,#REF!,3,TRUE),VLOOKUP(F89,#REF!,3,TRUE)))</f>
        <v>#REF!</v>
      </c>
      <c r="I89" s="9">
        <f>IFERROR(VLOOKUP(C89,Palmares!#REF!,4,FALSE),0)</f>
        <v>0</v>
      </c>
    </row>
    <row r="90" spans="1:9" ht="15.6" x14ac:dyDescent="0.3">
      <c r="A90" s="2" t="s">
        <v>9</v>
      </c>
      <c r="C90" s="1">
        <v>33424</v>
      </c>
      <c r="D90" s="2" t="s">
        <v>175</v>
      </c>
      <c r="E90" s="2" t="s">
        <v>176</v>
      </c>
      <c r="F90"/>
      <c r="G90" t="str">
        <f t="shared" si="5"/>
        <v>Azul</v>
      </c>
      <c r="H90" t="e">
        <f>IF(G90="Rojas",VLOOKUP(F90,#REF!,3,TRUE),IF(G90="Azul",VLOOKUP(F90,#REF!,3,TRUE),VLOOKUP(F90,#REF!,3,TRUE)))</f>
        <v>#REF!</v>
      </c>
      <c r="I90" s="9">
        <f>IFERROR(VLOOKUP(C90,Palmares!#REF!,4,FALSE),0)</f>
        <v>0</v>
      </c>
    </row>
    <row r="91" spans="1:9" ht="15.6" x14ac:dyDescent="0.3">
      <c r="A91" s="40" t="s">
        <v>9</v>
      </c>
      <c r="C91" s="1">
        <v>5075</v>
      </c>
      <c r="D91" s="2" t="s">
        <v>177</v>
      </c>
      <c r="E91" s="2" t="s">
        <v>178</v>
      </c>
      <c r="F91"/>
      <c r="G91" t="str">
        <f t="shared" si="5"/>
        <v>Azul</v>
      </c>
      <c r="H91" t="e">
        <f>IF(G91="Rojas",VLOOKUP(F91,#REF!,3,TRUE),IF(G91="Azul",VLOOKUP(F91,#REF!,3,TRUE),VLOOKUP(F91,#REF!,3,TRUE)))</f>
        <v>#REF!</v>
      </c>
      <c r="I91" s="9">
        <f>IFERROR(VLOOKUP(C91,Palmares!#REF!,4,FALSE),0)</f>
        <v>0</v>
      </c>
    </row>
    <row r="92" spans="1:9" ht="15.6" x14ac:dyDescent="0.3">
      <c r="A92" s="2" t="s">
        <v>9</v>
      </c>
      <c r="C92" s="1">
        <v>5040</v>
      </c>
      <c r="D92" s="2" t="s">
        <v>179</v>
      </c>
      <c r="E92" s="2" t="s">
        <v>180</v>
      </c>
      <c r="F92"/>
      <c r="G92" t="str">
        <f t="shared" si="5"/>
        <v>Azul</v>
      </c>
      <c r="H92" t="e">
        <f>IF(G92="Rojas",VLOOKUP(F92,#REF!,3,TRUE),IF(G92="Azul",VLOOKUP(F92,#REF!,3,TRUE),VLOOKUP(F92,#REF!,3,TRUE)))</f>
        <v>#REF!</v>
      </c>
      <c r="I92" s="9">
        <f>IFERROR(VLOOKUP(C92,Palmares!#REF!,4,FALSE),0)</f>
        <v>0</v>
      </c>
    </row>
    <row r="93" spans="1:9" ht="15.6" x14ac:dyDescent="0.3">
      <c r="A93" s="36" t="s">
        <v>17</v>
      </c>
      <c r="C93" s="3">
        <v>33117</v>
      </c>
      <c r="D93" s="2" t="s">
        <v>181</v>
      </c>
      <c r="E93" s="2" t="s">
        <v>182</v>
      </c>
      <c r="F93" s="9">
        <v>18.7</v>
      </c>
      <c r="G93" t="str">
        <f t="shared" si="5"/>
        <v>Azul</v>
      </c>
      <c r="H93" t="e">
        <f>IF(G93="Rojas",VLOOKUP(F93,#REF!,3,TRUE),IF(G93="Azul",VLOOKUP(F93,#REF!,3,TRUE),VLOOKUP(F93,#REF!,3,TRUE)))</f>
        <v>#REF!</v>
      </c>
      <c r="I93" s="9">
        <f>IFERROR(VLOOKUP(C93,Palmares!#REF!,4,FALSE),0)</f>
        <v>0</v>
      </c>
    </row>
    <row r="94" spans="1:9" ht="15.6" x14ac:dyDescent="0.3">
      <c r="A94" s="37" t="s">
        <v>9</v>
      </c>
      <c r="C94" s="1">
        <v>27687</v>
      </c>
      <c r="D94" s="2" t="s">
        <v>183</v>
      </c>
      <c r="E94" s="2" t="s">
        <v>184</v>
      </c>
      <c r="F94"/>
      <c r="G94" t="str">
        <f t="shared" si="5"/>
        <v>Azul</v>
      </c>
      <c r="H94" t="e">
        <f>IF(G94="Rojas",VLOOKUP(F94,#REF!,3,TRUE),IF(G94="Azul",VLOOKUP(F94,#REF!,3,TRUE),VLOOKUP(F94,#REF!,3,TRUE)))</f>
        <v>#REF!</v>
      </c>
      <c r="I94" s="9">
        <f>IFERROR(VLOOKUP(C94,Palmares!#REF!,4,FALSE),0)</f>
        <v>0</v>
      </c>
    </row>
    <row r="95" spans="1:9" ht="15.6" x14ac:dyDescent="0.3">
      <c r="A95" s="39" t="s">
        <v>9</v>
      </c>
      <c r="C95" s="1">
        <v>5393</v>
      </c>
      <c r="D95" s="2" t="s">
        <v>185</v>
      </c>
      <c r="E95" s="2" t="s">
        <v>83</v>
      </c>
      <c r="F95"/>
      <c r="G95" t="str">
        <f t="shared" si="5"/>
        <v>Azul</v>
      </c>
      <c r="H95" t="e">
        <f>IF(G95="Rojas",VLOOKUP(F95,#REF!,3,TRUE),IF(G95="Azul",VLOOKUP(F95,#REF!,3,TRUE),VLOOKUP(F95,#REF!,3,TRUE)))</f>
        <v>#REF!</v>
      </c>
      <c r="I95" s="9">
        <f>IFERROR(VLOOKUP(C95,Palmares!#REF!,4,FALSE),0)</f>
        <v>0</v>
      </c>
    </row>
    <row r="96" spans="1:9" ht="15.6" x14ac:dyDescent="0.3">
      <c r="A96" s="2" t="s">
        <v>17</v>
      </c>
      <c r="C96" s="1">
        <v>17558</v>
      </c>
      <c r="D96" s="2" t="s">
        <v>333</v>
      </c>
      <c r="E96" s="2" t="s">
        <v>334</v>
      </c>
      <c r="F96">
        <v>28.3</v>
      </c>
      <c r="G96" t="str">
        <f t="shared" si="5"/>
        <v>Blanca</v>
      </c>
      <c r="H96" t="e">
        <f>IF(G96="Rojas",VLOOKUP(F96,#REF!,3,TRUE),IF(G96="Azul",VLOOKUP(F96,#REF!,3,TRUE),VLOOKUP(F96,#REF!,3,TRUE)))</f>
        <v>#REF!</v>
      </c>
      <c r="I96" s="9">
        <f>IFERROR(VLOOKUP(C96,Palmares!#REF!,4,FALSE),0)</f>
        <v>0</v>
      </c>
    </row>
    <row r="97" spans="1:9" ht="15.6" x14ac:dyDescent="0.3">
      <c r="A97" s="36" t="s">
        <v>51</v>
      </c>
      <c r="C97" s="1">
        <v>31740</v>
      </c>
      <c r="D97" s="2" t="s">
        <v>186</v>
      </c>
      <c r="E97" s="2" t="s">
        <v>187</v>
      </c>
      <c r="F97">
        <v>27.7</v>
      </c>
      <c r="G97" t="str">
        <f>IF(A97="Damas","Rojas",IF(F97&lt;18.8,"Azul","Blanca"))</f>
        <v>Rojas</v>
      </c>
      <c r="H97" t="e">
        <f>IF(G97="Rojas",VLOOKUP(F97,#REF!,3,TRUE),IF(G97="Azul",VLOOKUP(F97,#REF!,3,TRUE),VLOOKUP(F97,#REF!,3,TRUE)))</f>
        <v>#REF!</v>
      </c>
      <c r="I97" s="9">
        <f>IFERROR(VLOOKUP(C97,Palmares!#REF!,4,FALSE),0)</f>
        <v>0</v>
      </c>
    </row>
    <row r="98" spans="1:9" ht="15.6" x14ac:dyDescent="0.3">
      <c r="A98" s="39" t="s">
        <v>51</v>
      </c>
      <c r="B98">
        <v>4</v>
      </c>
      <c r="C98" s="1">
        <v>14715</v>
      </c>
      <c r="D98" s="41" t="s">
        <v>339</v>
      </c>
      <c r="E98" s="2" t="s">
        <v>340</v>
      </c>
      <c r="F98" s="9">
        <v>13.3</v>
      </c>
      <c r="G98" t="str">
        <f>IF(A98="Damas","Rojas",IF(F98&lt;18.8,"Azul","Blanca"))</f>
        <v>Rojas</v>
      </c>
      <c r="H98" t="e">
        <f>IF(G98="Rojas",VLOOKUP(F98,#REF!,3,TRUE),IF(G98="Azul",VLOOKUP(F98,#REF!,3,TRUE),VLOOKUP(F98,#REF!,3,TRUE)))</f>
        <v>#REF!</v>
      </c>
      <c r="I98" s="9">
        <f>IFERROR(VLOOKUP(C98,Palmares!#REF!,4,FALSE),0)</f>
        <v>0</v>
      </c>
    </row>
    <row r="99" spans="1:9" ht="15.6" x14ac:dyDescent="0.3">
      <c r="A99" s="2" t="s">
        <v>17</v>
      </c>
      <c r="C99" s="3">
        <v>33476</v>
      </c>
      <c r="D99" s="2" t="s">
        <v>166</v>
      </c>
      <c r="E99" s="2" t="s">
        <v>167</v>
      </c>
      <c r="F99" s="9">
        <v>27.2</v>
      </c>
      <c r="G99" t="str">
        <f>IF(A99="Damas","Rojas",IF(F99&lt;18.8,"Azul","Blanca"))</f>
        <v>Blanca</v>
      </c>
      <c r="H99" t="e">
        <f>IF(G99="Rojas",VLOOKUP(F99,#REF!,3,TRUE),IF(G99="Azul",VLOOKUP(F99,#REF!,3,TRUE),VLOOKUP(F99,#REF!,3,TRUE)))</f>
        <v>#REF!</v>
      </c>
      <c r="I99" s="9">
        <f>IFERROR(VLOOKUP(C99,Palmares!#REF!,4,FALSE),0)</f>
        <v>0</v>
      </c>
    </row>
    <row r="100" spans="1:9" ht="15.6" x14ac:dyDescent="0.3">
      <c r="A100" s="2" t="s">
        <v>9</v>
      </c>
      <c r="C100" s="1">
        <v>21041</v>
      </c>
      <c r="D100" s="2" t="s">
        <v>192</v>
      </c>
      <c r="E100" s="2" t="s">
        <v>29</v>
      </c>
      <c r="F100"/>
      <c r="G100" t="str">
        <f>+IF(F100&lt;18.8,"Azul","Blanca")</f>
        <v>Azul</v>
      </c>
      <c r="H100" t="e">
        <f>IF(G100="Rojas",VLOOKUP(F100,#REF!,3,TRUE),IF(G100="Azul",VLOOKUP(F100,#REF!,3,TRUE),VLOOKUP(F100,#REF!,3,TRUE)))</f>
        <v>#REF!</v>
      </c>
      <c r="I100" s="9">
        <f>IFERROR(VLOOKUP(C100,Palmares!#REF!,4,FALSE),0)</f>
        <v>0</v>
      </c>
    </row>
    <row r="101" spans="1:9" ht="15.6" x14ac:dyDescent="0.3">
      <c r="A101" s="40" t="s">
        <v>17</v>
      </c>
      <c r="B101">
        <v>4</v>
      </c>
      <c r="C101" s="1">
        <v>30572</v>
      </c>
      <c r="D101" s="41" t="s">
        <v>225</v>
      </c>
      <c r="E101" s="2" t="s">
        <v>226</v>
      </c>
      <c r="F101" s="9">
        <v>19.399999999999999</v>
      </c>
      <c r="G101" t="str">
        <f>+IF(F101&lt;18.8,"Azul","Blanca")</f>
        <v>Blanca</v>
      </c>
      <c r="H101" t="e">
        <f>IF(G101="Rojas",VLOOKUP(F101,#REF!,3,TRUE),IF(G101="Azul",VLOOKUP(F101,#REF!,3,TRUE),VLOOKUP(F101,#REF!,3,TRUE)))</f>
        <v>#REF!</v>
      </c>
      <c r="I101" s="9">
        <f>IFERROR(VLOOKUP(C101,Palmares!#REF!,4,FALSE),0)</f>
        <v>0</v>
      </c>
    </row>
    <row r="102" spans="1:9" ht="15.6" x14ac:dyDescent="0.3">
      <c r="A102" s="2" t="s">
        <v>17</v>
      </c>
      <c r="B102">
        <v>4</v>
      </c>
      <c r="C102" s="1">
        <v>16260</v>
      </c>
      <c r="D102" s="41" t="s">
        <v>270</v>
      </c>
      <c r="E102" s="2" t="s">
        <v>271</v>
      </c>
      <c r="F102" s="9">
        <v>21.1</v>
      </c>
      <c r="G102" t="str">
        <f>IF(A102="Damas","Rojas",IF(F102&lt;18.8,"Azul","Blanca"))</f>
        <v>Blanca</v>
      </c>
      <c r="H102" t="e">
        <f>IF(G102="Rojas",VLOOKUP(F102,#REF!,3,TRUE),IF(G102="Azul",VLOOKUP(F102,#REF!,3,TRUE),VLOOKUP(F102,#REF!,3,TRUE)))</f>
        <v>#REF!</v>
      </c>
      <c r="I102" s="9">
        <f>IFERROR(VLOOKUP(C102,Palmares!#REF!,4,FALSE),0)</f>
        <v>0</v>
      </c>
    </row>
    <row r="103" spans="1:9" ht="15.6" x14ac:dyDescent="0.3">
      <c r="A103" s="40" t="s">
        <v>9</v>
      </c>
      <c r="C103" s="38">
        <v>28152</v>
      </c>
      <c r="D103" s="2" t="s">
        <v>197</v>
      </c>
      <c r="E103" s="2" t="s">
        <v>198</v>
      </c>
      <c r="F103"/>
      <c r="G103" t="str">
        <f t="shared" ref="G103:G113" si="6">+IF(F103&lt;18.8,"Azul","Blanca")</f>
        <v>Azul</v>
      </c>
      <c r="H103" t="e">
        <f>IF(G103="Rojas",VLOOKUP(F103,#REF!,3,TRUE),IF(G103="Azul",VLOOKUP(F103,#REF!,3,TRUE),VLOOKUP(F103,#REF!,3,TRUE)))</f>
        <v>#REF!</v>
      </c>
      <c r="I103" s="9">
        <f>IFERROR(VLOOKUP(C103,Palmares!#REF!,4,FALSE),0)</f>
        <v>0</v>
      </c>
    </row>
    <row r="104" spans="1:9" ht="15.6" x14ac:dyDescent="0.3">
      <c r="A104" s="2" t="s">
        <v>9</v>
      </c>
      <c r="C104" s="1">
        <v>18834</v>
      </c>
      <c r="D104" s="2" t="s">
        <v>199</v>
      </c>
      <c r="E104" s="2" t="s">
        <v>200</v>
      </c>
      <c r="F104"/>
      <c r="G104" t="str">
        <f t="shared" si="6"/>
        <v>Azul</v>
      </c>
      <c r="H104" t="e">
        <f>IF(G104="Rojas",VLOOKUP(F104,#REF!,3,TRUE),IF(G104="Azul",VLOOKUP(F104,#REF!,3,TRUE),VLOOKUP(F104,#REF!,3,TRUE)))</f>
        <v>#REF!</v>
      </c>
      <c r="I104" s="9">
        <f>IFERROR(VLOOKUP(C104,Palmares!#REF!,4,FALSE),0)</f>
        <v>0</v>
      </c>
    </row>
    <row r="105" spans="1:9" ht="15.6" x14ac:dyDescent="0.3">
      <c r="A105" s="2" t="s">
        <v>9</v>
      </c>
      <c r="C105" s="1">
        <v>28519</v>
      </c>
      <c r="D105" s="2" t="s">
        <v>201</v>
      </c>
      <c r="E105" s="2" t="s">
        <v>202</v>
      </c>
      <c r="F105"/>
      <c r="G105" t="str">
        <f t="shared" si="6"/>
        <v>Azul</v>
      </c>
      <c r="H105" t="e">
        <f>IF(G105="Rojas",VLOOKUP(F105,#REF!,3,TRUE),IF(G105="Azul",VLOOKUP(F105,#REF!,3,TRUE),VLOOKUP(F105,#REF!,3,TRUE)))</f>
        <v>#REF!</v>
      </c>
      <c r="I105" s="9">
        <f>IFERROR(VLOOKUP(C105,Palmares!#REF!,4,FALSE),0)</f>
        <v>0</v>
      </c>
    </row>
    <row r="106" spans="1:9" ht="15.6" x14ac:dyDescent="0.3">
      <c r="A106" s="36" t="s">
        <v>9</v>
      </c>
      <c r="C106" s="1">
        <v>28707</v>
      </c>
      <c r="D106" s="2" t="s">
        <v>203</v>
      </c>
      <c r="E106" s="2" t="s">
        <v>204</v>
      </c>
      <c r="F106"/>
      <c r="G106" t="str">
        <f t="shared" si="6"/>
        <v>Azul</v>
      </c>
      <c r="H106" t="e">
        <f>IF(G106="Rojas",VLOOKUP(F106,#REF!,3,TRUE),IF(G106="Azul",VLOOKUP(F106,#REF!,3,TRUE),VLOOKUP(F106,#REF!,3,TRUE)))</f>
        <v>#REF!</v>
      </c>
      <c r="I106" s="9">
        <f>IFERROR(VLOOKUP(C106,Palmares!#REF!,4,FALSE),0)</f>
        <v>0</v>
      </c>
    </row>
    <row r="107" spans="1:9" ht="15.6" x14ac:dyDescent="0.3">
      <c r="A107" s="37" t="s">
        <v>9</v>
      </c>
      <c r="C107" s="1">
        <v>666669</v>
      </c>
      <c r="D107" s="2" t="s">
        <v>205</v>
      </c>
      <c r="E107" s="2" t="s">
        <v>19</v>
      </c>
      <c r="F107"/>
      <c r="G107" t="str">
        <f t="shared" si="6"/>
        <v>Azul</v>
      </c>
      <c r="H107" t="e">
        <f>IF(G107="Rojas",VLOOKUP(F107,#REF!,3,TRUE),IF(G107="Azul",VLOOKUP(F107,#REF!,3,TRUE),VLOOKUP(F107,#REF!,3,TRUE)))</f>
        <v>#REF!</v>
      </c>
      <c r="I107" s="9">
        <f>IFERROR(VLOOKUP(C107,Palmares!#REF!,4,FALSE),0)</f>
        <v>0</v>
      </c>
    </row>
    <row r="108" spans="1:9" ht="15.6" x14ac:dyDescent="0.3">
      <c r="A108" s="39" t="s">
        <v>9</v>
      </c>
      <c r="C108" s="1">
        <v>18068</v>
      </c>
      <c r="D108" s="2" t="s">
        <v>206</v>
      </c>
      <c r="E108" s="2" t="s">
        <v>207</v>
      </c>
      <c r="F108"/>
      <c r="G108" t="str">
        <f t="shared" si="6"/>
        <v>Azul</v>
      </c>
      <c r="H108" t="e">
        <f>IF(G108="Rojas",VLOOKUP(F108,#REF!,3,TRUE),IF(G108="Azul",VLOOKUP(F108,#REF!,3,TRUE),VLOOKUP(F108,#REF!,3,TRUE)))</f>
        <v>#REF!</v>
      </c>
      <c r="I108" s="9">
        <f>IFERROR(VLOOKUP(C108,Palmares!#REF!,4,FALSE),0)</f>
        <v>0</v>
      </c>
    </row>
    <row r="109" spans="1:9" ht="15.6" x14ac:dyDescent="0.3">
      <c r="A109" s="2" t="s">
        <v>9</v>
      </c>
      <c r="C109" s="1">
        <v>16589</v>
      </c>
      <c r="D109" s="2" t="s">
        <v>208</v>
      </c>
      <c r="E109" s="2" t="s">
        <v>209</v>
      </c>
      <c r="F109"/>
      <c r="G109" t="str">
        <f t="shared" si="6"/>
        <v>Azul</v>
      </c>
      <c r="H109" t="e">
        <f>IF(G109="Rojas",VLOOKUP(F109,#REF!,3,TRUE),IF(G109="Azul",VLOOKUP(F109,#REF!,3,TRUE),VLOOKUP(F109,#REF!,3,TRUE)))</f>
        <v>#REF!</v>
      </c>
      <c r="I109" s="9">
        <f>IFERROR(VLOOKUP(C109,Palmares!#REF!,4,FALSE),0)</f>
        <v>0</v>
      </c>
    </row>
    <row r="110" spans="1:9" ht="15.6" x14ac:dyDescent="0.3">
      <c r="A110" s="40" t="s">
        <v>9</v>
      </c>
      <c r="C110" s="3">
        <v>66666</v>
      </c>
      <c r="D110" s="2" t="s">
        <v>210</v>
      </c>
      <c r="E110" s="2" t="s">
        <v>211</v>
      </c>
      <c r="F110"/>
      <c r="G110" t="str">
        <f t="shared" si="6"/>
        <v>Azul</v>
      </c>
      <c r="H110" t="e">
        <f>IF(G110="Rojas",VLOOKUP(F110,#REF!,3,TRUE),IF(G110="Azul",VLOOKUP(F110,#REF!,3,TRUE),VLOOKUP(F110,#REF!,3,TRUE)))</f>
        <v>#REF!</v>
      </c>
      <c r="I110" s="9">
        <f>IFERROR(VLOOKUP(C110,Palmares!#REF!,4,FALSE),0)</f>
        <v>0</v>
      </c>
    </row>
    <row r="111" spans="1:9" ht="15.6" x14ac:dyDescent="0.3">
      <c r="A111" s="2" t="s">
        <v>9</v>
      </c>
      <c r="C111" s="1">
        <v>7127</v>
      </c>
      <c r="D111" s="2" t="s">
        <v>212</v>
      </c>
      <c r="E111" s="2" t="s">
        <v>213</v>
      </c>
      <c r="F111"/>
      <c r="G111" t="str">
        <f t="shared" si="6"/>
        <v>Azul</v>
      </c>
      <c r="H111" t="e">
        <f>IF(G111="Rojas",VLOOKUP(F111,#REF!,3,TRUE),IF(G111="Azul",VLOOKUP(F111,#REF!,3,TRUE),VLOOKUP(F111,#REF!,3,TRUE)))</f>
        <v>#REF!</v>
      </c>
      <c r="I111" s="9">
        <f>IFERROR(VLOOKUP(C111,Palmares!#REF!,4,FALSE),0)</f>
        <v>0</v>
      </c>
    </row>
    <row r="112" spans="1:9" ht="15.6" x14ac:dyDescent="0.3">
      <c r="A112" s="36" t="s">
        <v>9</v>
      </c>
      <c r="C112" s="1">
        <v>7196</v>
      </c>
      <c r="D112" s="2" t="s">
        <v>214</v>
      </c>
      <c r="E112" s="2" t="s">
        <v>215</v>
      </c>
      <c r="F112"/>
      <c r="G112" t="str">
        <f t="shared" si="6"/>
        <v>Azul</v>
      </c>
      <c r="H112" t="e">
        <f>IF(G112="Rojas",VLOOKUP(F112,#REF!,3,TRUE),IF(G112="Azul",VLOOKUP(F112,#REF!,3,TRUE),VLOOKUP(F112,#REF!,3,TRUE)))</f>
        <v>#REF!</v>
      </c>
      <c r="I112" s="9">
        <f>IFERROR(VLOOKUP(C112,Palmares!#REF!,4,FALSE),0)</f>
        <v>0</v>
      </c>
    </row>
    <row r="113" spans="1:9" ht="15.6" x14ac:dyDescent="0.3">
      <c r="A113" s="37" t="s">
        <v>9</v>
      </c>
      <c r="C113" s="3">
        <v>7199</v>
      </c>
      <c r="D113" s="2" t="s">
        <v>216</v>
      </c>
      <c r="E113" s="2" t="s">
        <v>217</v>
      </c>
      <c r="F113"/>
      <c r="G113" t="str">
        <f t="shared" si="6"/>
        <v>Azul</v>
      </c>
      <c r="H113" t="e">
        <f>IF(G113="Rojas",VLOOKUP(F113,#REF!,3,TRUE),IF(G113="Azul",VLOOKUP(F113,#REF!,3,TRUE),VLOOKUP(F113,#REF!,3,TRUE)))</f>
        <v>#REF!</v>
      </c>
      <c r="I113" s="9">
        <f>IFERROR(VLOOKUP(C113,Palmares!#REF!,4,FALSE),0)</f>
        <v>0</v>
      </c>
    </row>
    <row r="114" spans="1:9" ht="15.6" x14ac:dyDescent="0.3">
      <c r="A114" s="37" t="s">
        <v>17</v>
      </c>
      <c r="B114">
        <v>5</v>
      </c>
      <c r="C114" s="4">
        <v>14084</v>
      </c>
      <c r="D114" s="41" t="s">
        <v>39</v>
      </c>
      <c r="E114" s="2" t="s">
        <v>40</v>
      </c>
      <c r="F114" s="9">
        <v>14.8</v>
      </c>
      <c r="G114" t="str">
        <f>IF(A114="Damas","Rojas",IF(F114&lt;18.8,"Azul","Blanca"))</f>
        <v>Azul</v>
      </c>
      <c r="H114" t="e">
        <f>IF(G114="Rojas",VLOOKUP(F114,#REF!,3,TRUE),IF(G114="Azul",VLOOKUP(F114,#REF!,3,TRUE),VLOOKUP(F114,#REF!,3,TRUE)))</f>
        <v>#REF!</v>
      </c>
      <c r="I114" s="9">
        <f>IFERROR(VLOOKUP(C114,Palmares!#REF!,4,FALSE),0)</f>
        <v>0</v>
      </c>
    </row>
    <row r="115" spans="1:9" ht="15.6" x14ac:dyDescent="0.3">
      <c r="A115" s="37" t="s">
        <v>9</v>
      </c>
      <c r="C115" s="1">
        <v>14556</v>
      </c>
      <c r="D115" s="2" t="s">
        <v>120</v>
      </c>
      <c r="E115" s="2" t="s">
        <v>156</v>
      </c>
      <c r="F115" s="9">
        <v>20</v>
      </c>
      <c r="G115" t="str">
        <f t="shared" ref="G115:G121" si="7">+IF(F115&lt;18.8,"Azul","Blanca")</f>
        <v>Blanca</v>
      </c>
      <c r="H115" t="e">
        <f>IF(G115="Rojas",VLOOKUP(F115,#REF!,3,TRUE),IF(G115="Azul",VLOOKUP(F115,#REF!,3,TRUE),VLOOKUP(F115,#REF!,3,TRUE)))</f>
        <v>#REF!</v>
      </c>
      <c r="I115" s="9">
        <f>IFERROR(VLOOKUP(C115,Palmares!#REF!,4,FALSE),0)</f>
        <v>0</v>
      </c>
    </row>
    <row r="116" spans="1:9" ht="15.6" x14ac:dyDescent="0.3">
      <c r="A116" s="39" t="s">
        <v>17</v>
      </c>
      <c r="C116" s="3">
        <v>34332</v>
      </c>
      <c r="D116" s="2" t="s">
        <v>157</v>
      </c>
      <c r="E116" s="2" t="s">
        <v>158</v>
      </c>
      <c r="F116" s="9">
        <v>23.1</v>
      </c>
      <c r="G116" t="str">
        <f t="shared" si="7"/>
        <v>Blanca</v>
      </c>
      <c r="H116" t="e">
        <f>IF(G116="Rojas",VLOOKUP(F116,#REF!,3,TRUE),IF(G116="Azul",VLOOKUP(F116,#REF!,3,TRUE),VLOOKUP(F116,#REF!,3,TRUE)))</f>
        <v>#REF!</v>
      </c>
      <c r="I116" s="9">
        <f>IFERROR(VLOOKUP(C116,Palmares!#REF!,4,FALSE),0)</f>
        <v>0</v>
      </c>
    </row>
    <row r="117" spans="1:9" ht="15.6" x14ac:dyDescent="0.3">
      <c r="A117" s="2" t="s">
        <v>9</v>
      </c>
      <c r="C117" s="1">
        <v>13625</v>
      </c>
      <c r="D117" s="2" t="s">
        <v>222</v>
      </c>
      <c r="E117" s="2" t="s">
        <v>223</v>
      </c>
      <c r="F117"/>
      <c r="G117" t="str">
        <f t="shared" si="7"/>
        <v>Azul</v>
      </c>
      <c r="H117" t="e">
        <f>IF(G117="Rojas",VLOOKUP(F117,#REF!,3,TRUE),IF(G117="Azul",VLOOKUP(F117,#REF!,3,TRUE),VLOOKUP(F117,#REF!,3,TRUE)))</f>
        <v>#REF!</v>
      </c>
      <c r="I117" s="9">
        <f>IFERROR(VLOOKUP(C117,Palmares!#REF!,4,FALSE),0)</f>
        <v>0</v>
      </c>
    </row>
    <row r="118" spans="1:9" ht="15.6" x14ac:dyDescent="0.3">
      <c r="A118" s="2" t="s">
        <v>9</v>
      </c>
      <c r="C118" s="1">
        <v>7344</v>
      </c>
      <c r="D118" s="2" t="s">
        <v>224</v>
      </c>
      <c r="E118" s="2" t="s">
        <v>174</v>
      </c>
      <c r="F118"/>
      <c r="G118" t="str">
        <f t="shared" si="7"/>
        <v>Azul</v>
      </c>
      <c r="H118" t="e">
        <f>IF(G118="Rojas",VLOOKUP(F118,#REF!,3,TRUE),IF(G118="Azul",VLOOKUP(F118,#REF!,3,TRUE),VLOOKUP(F118,#REF!,3,TRUE)))</f>
        <v>#REF!</v>
      </c>
      <c r="I118" s="9">
        <f>IFERROR(VLOOKUP(C118,Palmares!#REF!,4,FALSE),0)</f>
        <v>0</v>
      </c>
    </row>
    <row r="119" spans="1:9" ht="15.6" x14ac:dyDescent="0.3">
      <c r="A119" s="2" t="s">
        <v>17</v>
      </c>
      <c r="C119" s="1">
        <v>26953</v>
      </c>
      <c r="D119" s="2" t="s">
        <v>120</v>
      </c>
      <c r="E119" s="2" t="s">
        <v>121</v>
      </c>
      <c r="F119" s="9">
        <v>12.3</v>
      </c>
      <c r="G119" t="str">
        <f t="shared" si="7"/>
        <v>Azul</v>
      </c>
      <c r="H119" t="e">
        <f>IF(G119="Rojas",VLOOKUP(F119,#REF!,3,TRUE),IF(G119="Azul",VLOOKUP(F119,#REF!,3,TRUE),VLOOKUP(F119,#REF!,3,TRUE)))</f>
        <v>#REF!</v>
      </c>
      <c r="I119" s="9">
        <f>IFERROR(VLOOKUP(C119,Palmares!#REF!,4,FALSE),0)</f>
        <v>0</v>
      </c>
    </row>
    <row r="120" spans="1:9" ht="15.6" x14ac:dyDescent="0.3">
      <c r="A120" s="36" t="s">
        <v>9</v>
      </c>
      <c r="C120" s="1">
        <v>27975</v>
      </c>
      <c r="D120" s="2" t="s">
        <v>227</v>
      </c>
      <c r="E120" s="2" t="s">
        <v>228</v>
      </c>
      <c r="F120"/>
      <c r="G120" t="str">
        <f t="shared" si="7"/>
        <v>Azul</v>
      </c>
      <c r="H120" t="e">
        <f>IF(G120="Rojas",VLOOKUP(F120,#REF!,3,TRUE),IF(G120="Azul",VLOOKUP(F120,#REF!,3,TRUE),VLOOKUP(F120,#REF!,3,TRUE)))</f>
        <v>#REF!</v>
      </c>
      <c r="I120" s="9">
        <f>IFERROR(VLOOKUP(C120,Palmares!#REF!,4,FALSE),0)</f>
        <v>0</v>
      </c>
    </row>
    <row r="121" spans="1:9" ht="15.6" x14ac:dyDescent="0.3">
      <c r="A121" s="37" t="s">
        <v>9</v>
      </c>
      <c r="C121" s="38">
        <v>28921</v>
      </c>
      <c r="D121" s="2" t="s">
        <v>229</v>
      </c>
      <c r="E121" s="2" t="s">
        <v>230</v>
      </c>
      <c r="F121"/>
      <c r="G121" t="str">
        <f t="shared" si="7"/>
        <v>Azul</v>
      </c>
      <c r="H121" t="e">
        <f>IF(G121="Rojas",VLOOKUP(F121,#REF!,3,TRUE),IF(G121="Azul",VLOOKUP(F121,#REF!,3,TRUE),VLOOKUP(F121,#REF!,3,TRUE)))</f>
        <v>#REF!</v>
      </c>
      <c r="I121" s="9">
        <f>IFERROR(VLOOKUP(C121,Palmares!#REF!,4,FALSE),0)</f>
        <v>0</v>
      </c>
    </row>
    <row r="122" spans="1:9" ht="15.6" x14ac:dyDescent="0.3">
      <c r="A122" s="39" t="s">
        <v>17</v>
      </c>
      <c r="B122">
        <v>5</v>
      </c>
      <c r="C122" s="1">
        <v>30087</v>
      </c>
      <c r="D122" s="41" t="s">
        <v>149</v>
      </c>
      <c r="E122" s="2" t="s">
        <v>150</v>
      </c>
      <c r="F122" s="9">
        <v>16.100000000000001</v>
      </c>
      <c r="G122" t="str">
        <f>IF(A122="Damas","Rojas",IF(F122&lt;18.8,"Azul","Blanca"))</f>
        <v>Azul</v>
      </c>
      <c r="H122" t="e">
        <f>IF(G122="Rojas",VLOOKUP(F122,#REF!,3,TRUE),IF(G122="Azul",VLOOKUP(F122,#REF!,3,TRUE),VLOOKUP(F122,#REF!,3,TRUE)))</f>
        <v>#REF!</v>
      </c>
      <c r="I122" s="9">
        <f>IFERROR(VLOOKUP(C122,Palmares!#REF!,4,FALSE),0)</f>
        <v>0</v>
      </c>
    </row>
    <row r="123" spans="1:9" ht="15.6" x14ac:dyDescent="0.3">
      <c r="A123" s="2" t="s">
        <v>17</v>
      </c>
      <c r="C123" s="1">
        <v>22156</v>
      </c>
      <c r="D123" s="2" t="s">
        <v>231</v>
      </c>
      <c r="E123" s="2" t="s">
        <v>232</v>
      </c>
      <c r="F123" s="9">
        <v>23</v>
      </c>
      <c r="G123" t="str">
        <f>IF(A123="Damas","Rojas",IF(F123&lt;18.8,"Azul","Blanca"))</f>
        <v>Blanca</v>
      </c>
      <c r="H123" t="e">
        <f>IF(G123="Rojas",VLOOKUP(F123,#REF!,3,TRUE),IF(G123="Azul",VLOOKUP(F123,#REF!,3,TRUE),VLOOKUP(F123,#REF!,3,TRUE)))</f>
        <v>#REF!</v>
      </c>
      <c r="I123" s="9">
        <f>IFERROR(VLOOKUP(C123,Palmares!#REF!,4,FALSE),0)</f>
        <v>0</v>
      </c>
    </row>
    <row r="124" spans="1:9" ht="15.6" x14ac:dyDescent="0.3">
      <c r="A124" s="36" t="s">
        <v>9</v>
      </c>
      <c r="C124" s="1">
        <v>7875</v>
      </c>
      <c r="D124" s="2" t="s">
        <v>234</v>
      </c>
      <c r="E124" s="2" t="s">
        <v>119</v>
      </c>
      <c r="F124"/>
      <c r="G124" t="str">
        <f>+IF(F124&lt;18.8,"Azul","Blanca")</f>
        <v>Azul</v>
      </c>
      <c r="H124" t="e">
        <f>IF(G124="Rojas",VLOOKUP(F124,#REF!,3,TRUE),IF(G124="Azul",VLOOKUP(F124,#REF!,3,TRUE),VLOOKUP(F124,#REF!,3,TRUE)))</f>
        <v>#REF!</v>
      </c>
      <c r="I124" s="9">
        <f>IFERROR(VLOOKUP(C124,Palmares!#REF!,4,FALSE),0)</f>
        <v>0</v>
      </c>
    </row>
    <row r="125" spans="1:9" ht="15.6" x14ac:dyDescent="0.3">
      <c r="A125" s="37" t="s">
        <v>17</v>
      </c>
      <c r="C125" s="1">
        <v>30100</v>
      </c>
      <c r="D125" s="2" t="s">
        <v>310</v>
      </c>
      <c r="E125" s="2" t="s">
        <v>106</v>
      </c>
      <c r="F125" s="9">
        <v>28.8</v>
      </c>
      <c r="G125" t="str">
        <f>IF(A125="Damas","Rojas",IF(F125&lt;18.8,"Azul","Blanca"))</f>
        <v>Blanca</v>
      </c>
      <c r="H125" t="e">
        <f>IF(G125="Rojas",VLOOKUP(F125,#REF!,3,TRUE),IF(G125="Azul",VLOOKUP(F125,#REF!,3,TRUE),VLOOKUP(F125,#REF!,3,TRUE)))</f>
        <v>#REF!</v>
      </c>
      <c r="I125" s="9">
        <f>IFERROR(VLOOKUP(C125,Palmares!#REF!,4,FALSE),0)</f>
        <v>0</v>
      </c>
    </row>
    <row r="126" spans="1:9" ht="15.6" x14ac:dyDescent="0.3">
      <c r="A126" s="39" t="s">
        <v>9</v>
      </c>
      <c r="C126" s="1">
        <v>25596</v>
      </c>
      <c r="D126" s="2" t="s">
        <v>237</v>
      </c>
      <c r="E126" s="2" t="s">
        <v>238</v>
      </c>
      <c r="F126"/>
      <c r="G126" t="str">
        <f t="shared" ref="G126:G132" si="8">+IF(F126&lt;18.8,"Azul","Blanca")</f>
        <v>Azul</v>
      </c>
      <c r="H126" t="e">
        <f>IF(G126="Rojas",VLOOKUP(F126,#REF!,3,TRUE),IF(G126="Azul",VLOOKUP(F126,#REF!,3,TRUE),VLOOKUP(F126,#REF!,3,TRUE)))</f>
        <v>#REF!</v>
      </c>
      <c r="I126" s="9">
        <f>IFERROR(VLOOKUP(C126,Palmares!#REF!,4,FALSE),0)</f>
        <v>0</v>
      </c>
    </row>
    <row r="127" spans="1:9" ht="15.6" x14ac:dyDescent="0.3">
      <c r="A127" s="2" t="s">
        <v>9</v>
      </c>
      <c r="C127" s="1">
        <v>16326</v>
      </c>
      <c r="D127" s="2" t="s">
        <v>239</v>
      </c>
      <c r="E127" s="2" t="s">
        <v>174</v>
      </c>
      <c r="F127"/>
      <c r="G127" t="str">
        <f t="shared" si="8"/>
        <v>Azul</v>
      </c>
      <c r="H127" t="e">
        <f>IF(G127="Rojas",VLOOKUP(F127,#REF!,3,TRUE),IF(G127="Azul",VLOOKUP(F127,#REF!,3,TRUE),VLOOKUP(F127,#REF!,3,TRUE)))</f>
        <v>#REF!</v>
      </c>
      <c r="I127" s="9">
        <f>IFERROR(VLOOKUP(C127,Palmares!#REF!,4,FALSE),0)</f>
        <v>0</v>
      </c>
    </row>
    <row r="128" spans="1:9" ht="15.6" x14ac:dyDescent="0.3">
      <c r="A128" s="2" t="s">
        <v>17</v>
      </c>
      <c r="C128" s="1">
        <v>7891</v>
      </c>
      <c r="D128" s="2" t="s">
        <v>220</v>
      </c>
      <c r="E128" s="2" t="s">
        <v>221</v>
      </c>
      <c r="F128" s="9">
        <v>17.899999999999999</v>
      </c>
      <c r="G128" t="str">
        <f t="shared" si="8"/>
        <v>Azul</v>
      </c>
      <c r="H128" t="e">
        <f>IF(G128="Rojas",VLOOKUP(F128,#REF!,3,TRUE),IF(G128="Azul",VLOOKUP(F128,#REF!,3,TRUE),VLOOKUP(F128,#REF!,3,TRUE)))</f>
        <v>#REF!</v>
      </c>
      <c r="I128" s="9">
        <f>IFERROR(VLOOKUP(C128,Palmares!#REF!,4,FALSE),0)</f>
        <v>0</v>
      </c>
    </row>
    <row r="129" spans="1:9" ht="15.6" x14ac:dyDescent="0.3">
      <c r="A129" s="36" t="s">
        <v>9</v>
      </c>
      <c r="C129" s="1">
        <v>30453</v>
      </c>
      <c r="D129" s="2" t="s">
        <v>241</v>
      </c>
      <c r="E129" s="2" t="s">
        <v>242</v>
      </c>
      <c r="F129"/>
      <c r="G129" t="str">
        <f t="shared" si="8"/>
        <v>Azul</v>
      </c>
      <c r="H129" t="e">
        <f>IF(G129="Rojas",VLOOKUP(F129,#REF!,3,TRUE),IF(G129="Azul",VLOOKUP(F129,#REF!,3,TRUE),VLOOKUP(F129,#REF!,3,TRUE)))</f>
        <v>#REF!</v>
      </c>
      <c r="I129" s="9">
        <f>IFERROR(VLOOKUP(C129,Palmares!#REF!,4,FALSE),0)</f>
        <v>0</v>
      </c>
    </row>
    <row r="130" spans="1:9" ht="15.6" x14ac:dyDescent="0.3">
      <c r="A130" s="37" t="s">
        <v>9</v>
      </c>
      <c r="C130" s="3">
        <v>33138</v>
      </c>
      <c r="D130" s="2" t="s">
        <v>243</v>
      </c>
      <c r="E130" s="2" t="s">
        <v>244</v>
      </c>
      <c r="F130"/>
      <c r="G130" t="str">
        <f t="shared" si="8"/>
        <v>Azul</v>
      </c>
      <c r="H130" t="e">
        <f>IF(G130="Rojas",VLOOKUP(F130,#REF!,3,TRUE),IF(G130="Azul",VLOOKUP(F130,#REF!,3,TRUE),VLOOKUP(F130,#REF!,3,TRUE)))</f>
        <v>#REF!</v>
      </c>
      <c r="I130" s="9">
        <f>IFERROR(VLOOKUP(C130,Palmares!#REF!,4,FALSE),0)</f>
        <v>0</v>
      </c>
    </row>
    <row r="131" spans="1:9" ht="15.6" x14ac:dyDescent="0.3">
      <c r="A131" s="37" t="s">
        <v>9</v>
      </c>
      <c r="C131" s="1">
        <v>12724</v>
      </c>
      <c r="D131" s="2" t="s">
        <v>245</v>
      </c>
      <c r="E131" s="2" t="s">
        <v>246</v>
      </c>
      <c r="F131"/>
      <c r="G131" t="str">
        <f t="shared" si="8"/>
        <v>Azul</v>
      </c>
      <c r="H131" t="e">
        <f>IF(G131="Rojas",VLOOKUP(F131,#REF!,3,TRUE),IF(G131="Azul",VLOOKUP(F131,#REF!,3,TRUE),VLOOKUP(F131,#REF!,3,TRUE)))</f>
        <v>#REF!</v>
      </c>
      <c r="I131" s="9">
        <f>IFERROR(VLOOKUP(C131,Palmares!#REF!,4,FALSE),0)</f>
        <v>0</v>
      </c>
    </row>
    <row r="132" spans="1:9" ht="15.6" x14ac:dyDescent="0.3">
      <c r="A132" s="37" t="s">
        <v>9</v>
      </c>
      <c r="C132" s="1">
        <v>25333</v>
      </c>
      <c r="D132" s="2" t="s">
        <v>247</v>
      </c>
      <c r="E132" s="2" t="s">
        <v>248</v>
      </c>
      <c r="F132"/>
      <c r="G132" t="str">
        <f t="shared" si="8"/>
        <v>Azul</v>
      </c>
      <c r="H132" t="e">
        <f>IF(G132="Rojas",VLOOKUP(F132,#REF!,3,TRUE),IF(G132="Azul",VLOOKUP(F132,#REF!,3,TRUE),VLOOKUP(F132,#REF!,3,TRUE)))</f>
        <v>#REF!</v>
      </c>
      <c r="I132" s="9">
        <f>IFERROR(VLOOKUP(C132,Palmares!#REF!,4,FALSE),0)</f>
        <v>0</v>
      </c>
    </row>
    <row r="133" spans="1:9" ht="15.6" x14ac:dyDescent="0.3">
      <c r="A133" s="37" t="s">
        <v>17</v>
      </c>
      <c r="B133">
        <v>5</v>
      </c>
      <c r="C133" s="1">
        <v>20886</v>
      </c>
      <c r="D133" s="41" t="s">
        <v>258</v>
      </c>
      <c r="E133" s="2" t="s">
        <v>250</v>
      </c>
      <c r="F133" s="9">
        <v>22</v>
      </c>
      <c r="G133" t="str">
        <f>IF(A133="Damas","Rojas",IF(F133&lt;18.8,"Azul","Blanca"))</f>
        <v>Blanca</v>
      </c>
      <c r="H133" t="e">
        <f>IF(G133="Rojas",VLOOKUP(F133,#REF!,3,TRUE),IF(G133="Azul",VLOOKUP(F133,#REF!,3,TRUE),VLOOKUP(F133,#REF!,3,TRUE)))</f>
        <v>#REF!</v>
      </c>
      <c r="I133" s="9">
        <f>IFERROR(VLOOKUP(C133,Palmares!#REF!,4,FALSE),0)</f>
        <v>0</v>
      </c>
    </row>
    <row r="134" spans="1:9" ht="15.6" x14ac:dyDescent="0.3">
      <c r="A134" s="39" t="s">
        <v>9</v>
      </c>
      <c r="C134" s="38">
        <v>26845</v>
      </c>
      <c r="D134" s="2" t="s">
        <v>251</v>
      </c>
      <c r="E134" s="2" t="s">
        <v>252</v>
      </c>
      <c r="F134"/>
      <c r="G134" t="str">
        <f t="shared" ref="G134:G145" si="9">+IF(F134&lt;18.8,"Azul","Blanca")</f>
        <v>Azul</v>
      </c>
      <c r="H134" t="e">
        <f>IF(G134="Rojas",VLOOKUP(F134,#REF!,3,TRUE),IF(G134="Azul",VLOOKUP(F134,#REF!,3,TRUE),VLOOKUP(F134,#REF!,3,TRUE)))</f>
        <v>#REF!</v>
      </c>
      <c r="I134" s="9">
        <f>IFERROR(VLOOKUP(C134,Palmares!#REF!,4,FALSE),0)</f>
        <v>0</v>
      </c>
    </row>
    <row r="135" spans="1:9" ht="15.6" x14ac:dyDescent="0.3">
      <c r="A135" s="2" t="s">
        <v>9</v>
      </c>
      <c r="C135" s="1">
        <v>8474</v>
      </c>
      <c r="D135" s="2" t="s">
        <v>253</v>
      </c>
      <c r="E135" s="2" t="s">
        <v>254</v>
      </c>
      <c r="F135"/>
      <c r="G135" t="str">
        <f t="shared" si="9"/>
        <v>Azul</v>
      </c>
      <c r="H135" t="e">
        <f>IF(G135="Rojas",VLOOKUP(F135,#REF!,3,TRUE),IF(G135="Azul",VLOOKUP(F135,#REF!,3,TRUE),VLOOKUP(F135,#REF!,3,TRUE)))</f>
        <v>#REF!</v>
      </c>
      <c r="I135" s="9">
        <f>IFERROR(VLOOKUP(C135,Palmares!#REF!,4,FALSE),0)</f>
        <v>0</v>
      </c>
    </row>
    <row r="136" spans="1:9" ht="15.6" x14ac:dyDescent="0.3">
      <c r="A136" s="2" t="s">
        <v>17</v>
      </c>
      <c r="C136" s="4">
        <v>25597</v>
      </c>
      <c r="D136" s="5" t="s">
        <v>240</v>
      </c>
      <c r="E136" s="5" t="s">
        <v>59</v>
      </c>
      <c r="F136" s="9">
        <v>18.7</v>
      </c>
      <c r="G136" t="str">
        <f t="shared" si="9"/>
        <v>Azul</v>
      </c>
      <c r="H136" t="e">
        <f>IF(G136="Rojas",VLOOKUP(F136,#REF!,3,TRUE),IF(G136="Azul",VLOOKUP(F136,#REF!,3,TRUE),VLOOKUP(F136,#REF!,3,TRUE)))</f>
        <v>#REF!</v>
      </c>
      <c r="I136" s="9">
        <f>IFERROR(VLOOKUP(C136,Palmares!#REF!,4,FALSE),0)</f>
        <v>0</v>
      </c>
    </row>
    <row r="137" spans="1:9" ht="15.6" x14ac:dyDescent="0.3">
      <c r="A137" s="36" t="s">
        <v>9</v>
      </c>
      <c r="C137" s="1">
        <v>8628</v>
      </c>
      <c r="D137" s="2" t="s">
        <v>256</v>
      </c>
      <c r="E137" s="2" t="s">
        <v>257</v>
      </c>
      <c r="F137"/>
      <c r="G137" t="str">
        <f t="shared" si="9"/>
        <v>Azul</v>
      </c>
      <c r="H137" t="e">
        <f>IF(G137="Rojas",VLOOKUP(F137,#REF!,3,TRUE),IF(G137="Azul",VLOOKUP(F137,#REF!,3,TRUE),VLOOKUP(F137,#REF!,3,TRUE)))</f>
        <v>#REF!</v>
      </c>
      <c r="I137" s="9">
        <f>IFERROR(VLOOKUP(C137,Palmares!#REF!,4,FALSE),0)</f>
        <v>0</v>
      </c>
    </row>
    <row r="138" spans="1:9" ht="15.6" x14ac:dyDescent="0.3">
      <c r="A138" s="39" t="s">
        <v>17</v>
      </c>
      <c r="B138">
        <v>5</v>
      </c>
      <c r="C138" s="1">
        <v>24283</v>
      </c>
      <c r="D138" s="41" t="s">
        <v>287</v>
      </c>
      <c r="E138" s="2" t="s">
        <v>288</v>
      </c>
      <c r="F138" s="9">
        <v>29.3</v>
      </c>
      <c r="G138" t="str">
        <f t="shared" si="9"/>
        <v>Blanca</v>
      </c>
      <c r="H138" t="e">
        <f>IF(G138="Rojas",VLOOKUP(F138,#REF!,3,TRUE),IF(G138="Azul",VLOOKUP(F138,#REF!,3,TRUE),VLOOKUP(F138,#REF!,3,TRUE)))</f>
        <v>#REF!</v>
      </c>
      <c r="I138" s="9">
        <f>IFERROR(VLOOKUP(C138,Palmares!#REF!,4,FALSE),0)</f>
        <v>0</v>
      </c>
    </row>
    <row r="139" spans="1:9" ht="15.6" x14ac:dyDescent="0.3">
      <c r="A139" s="2" t="s">
        <v>9</v>
      </c>
      <c r="C139" s="1">
        <v>16779</v>
      </c>
      <c r="D139" s="2" t="s">
        <v>259</v>
      </c>
      <c r="E139" s="2" t="s">
        <v>260</v>
      </c>
      <c r="F139"/>
      <c r="G139" t="str">
        <f t="shared" si="9"/>
        <v>Azul</v>
      </c>
      <c r="H139" t="e">
        <f>IF(G139="Rojas",VLOOKUP(F139,#REF!,3,TRUE),IF(G139="Azul",VLOOKUP(F139,#REF!,3,TRUE),VLOOKUP(F139,#REF!,3,TRUE)))</f>
        <v>#REF!</v>
      </c>
      <c r="I139" s="9">
        <f>IFERROR(VLOOKUP(C139,Palmares!#REF!,4,FALSE),0)</f>
        <v>0</v>
      </c>
    </row>
    <row r="140" spans="1:9" ht="15.6" x14ac:dyDescent="0.3">
      <c r="A140" s="2" t="s">
        <v>9</v>
      </c>
      <c r="C140" s="1">
        <v>17294</v>
      </c>
      <c r="D140" s="2" t="s">
        <v>259</v>
      </c>
      <c r="E140" s="2" t="s">
        <v>211</v>
      </c>
      <c r="F140"/>
      <c r="G140" t="str">
        <f t="shared" si="9"/>
        <v>Azul</v>
      </c>
      <c r="H140" t="e">
        <f>IF(G140="Rojas",VLOOKUP(F140,#REF!,3,TRUE),IF(G140="Azul",VLOOKUP(F140,#REF!,3,TRUE),VLOOKUP(F140,#REF!,3,TRUE)))</f>
        <v>#REF!</v>
      </c>
      <c r="I140" s="9">
        <f>IFERROR(VLOOKUP(C140,Palmares!#REF!,4,FALSE),0)</f>
        <v>0</v>
      </c>
    </row>
    <row r="141" spans="1:9" ht="15.6" x14ac:dyDescent="0.3">
      <c r="A141" s="36" t="s">
        <v>9</v>
      </c>
      <c r="C141" s="38">
        <v>8845</v>
      </c>
      <c r="D141" s="2" t="s">
        <v>261</v>
      </c>
      <c r="E141" s="2" t="s">
        <v>262</v>
      </c>
      <c r="F141"/>
      <c r="G141" t="str">
        <f t="shared" si="9"/>
        <v>Azul</v>
      </c>
      <c r="H141" t="e">
        <f>IF(G141="Rojas",VLOOKUP(F141,#REF!,3,TRUE),IF(G141="Azul",VLOOKUP(F141,#REF!,3,TRUE),VLOOKUP(F141,#REF!,3,TRUE)))</f>
        <v>#REF!</v>
      </c>
      <c r="I141" s="9">
        <f>IFERROR(VLOOKUP(C141,Palmares!#REF!,4,FALSE),0)</f>
        <v>0</v>
      </c>
    </row>
    <row r="142" spans="1:9" ht="15.6" x14ac:dyDescent="0.3">
      <c r="A142" s="39" t="s">
        <v>17</v>
      </c>
      <c r="C142" s="1">
        <v>21865</v>
      </c>
      <c r="D142" s="2" t="s">
        <v>107</v>
      </c>
      <c r="E142" s="2" t="s">
        <v>108</v>
      </c>
      <c r="F142" s="9">
        <v>15.9</v>
      </c>
      <c r="G142" t="str">
        <f t="shared" si="9"/>
        <v>Azul</v>
      </c>
      <c r="H142" t="e">
        <f>IF(G142="Rojas",VLOOKUP(F142,#REF!,3,TRUE),IF(G142="Azul",VLOOKUP(F142,#REF!,3,TRUE),VLOOKUP(F142,#REF!,3,TRUE)))</f>
        <v>#REF!</v>
      </c>
      <c r="I142" s="9">
        <f>IFERROR(VLOOKUP(C142,Palmares!#REF!,4,FALSE),0)</f>
        <v>0</v>
      </c>
    </row>
    <row r="143" spans="1:9" ht="15.6" x14ac:dyDescent="0.3">
      <c r="A143" s="2" t="s">
        <v>9</v>
      </c>
      <c r="C143" s="1">
        <v>9165</v>
      </c>
      <c r="D143" s="2" t="s">
        <v>265</v>
      </c>
      <c r="E143" s="2" t="s">
        <v>266</v>
      </c>
      <c r="F143"/>
      <c r="G143" t="str">
        <f t="shared" si="9"/>
        <v>Azul</v>
      </c>
      <c r="H143" t="e">
        <f>IF(G143="Rojas",VLOOKUP(F143,#REF!,3,TRUE),IF(G143="Azul",VLOOKUP(F143,#REF!,3,TRUE),VLOOKUP(F143,#REF!,3,TRUE)))</f>
        <v>#REF!</v>
      </c>
      <c r="I143" s="9">
        <f>IFERROR(VLOOKUP(C143,Palmares!#REF!,4,FALSE),0)</f>
        <v>0</v>
      </c>
    </row>
    <row r="144" spans="1:9" ht="15.6" x14ac:dyDescent="0.3">
      <c r="A144" s="36" t="s">
        <v>9</v>
      </c>
      <c r="C144" s="1">
        <v>31819</v>
      </c>
      <c r="D144" s="2" t="s">
        <v>267</v>
      </c>
      <c r="E144" s="2" t="s">
        <v>268</v>
      </c>
      <c r="F144"/>
      <c r="G144" t="str">
        <f t="shared" si="9"/>
        <v>Azul</v>
      </c>
      <c r="H144" t="e">
        <f>IF(G144="Rojas",VLOOKUP(F144,#REF!,3,TRUE),IF(G144="Azul",VLOOKUP(F144,#REF!,3,TRUE),VLOOKUP(F144,#REF!,3,TRUE)))</f>
        <v>#REF!</v>
      </c>
      <c r="I144" s="9">
        <f>IFERROR(VLOOKUP(C144,Palmares!#REF!,4,FALSE),0)</f>
        <v>0</v>
      </c>
    </row>
    <row r="145" spans="1:9" ht="15.6" x14ac:dyDescent="0.3">
      <c r="A145" s="39" t="s">
        <v>9</v>
      </c>
      <c r="C145" s="1">
        <v>9171</v>
      </c>
      <c r="D145" s="2" t="s">
        <v>269</v>
      </c>
      <c r="E145" s="2" t="s">
        <v>266</v>
      </c>
      <c r="F145"/>
      <c r="G145" t="str">
        <f t="shared" si="9"/>
        <v>Azul</v>
      </c>
      <c r="H145" t="e">
        <f>IF(G145="Rojas",VLOOKUP(F145,#REF!,3,TRUE),IF(G145="Azul",VLOOKUP(F145,#REF!,3,TRUE),VLOOKUP(F145,#REF!,3,TRUE)))</f>
        <v>#REF!</v>
      </c>
      <c r="I145" s="9">
        <f>IFERROR(VLOOKUP(C145,Palmares!#REF!,4,FALSE),0)</f>
        <v>0</v>
      </c>
    </row>
    <row r="146" spans="1:9" ht="15.6" x14ac:dyDescent="0.3">
      <c r="A146" s="2" t="s">
        <v>51</v>
      </c>
      <c r="C146" s="1">
        <v>27280</v>
      </c>
      <c r="D146" s="2" t="s">
        <v>263</v>
      </c>
      <c r="E146" s="2" t="s">
        <v>264</v>
      </c>
      <c r="F146" s="9">
        <v>30</v>
      </c>
      <c r="G146" t="str">
        <f>IF(A146="Damas","Rojas",IF(F146&lt;18.8,"Azul","Blanca"))</f>
        <v>Rojas</v>
      </c>
      <c r="H146" t="e">
        <f>IF(G146="Rojas",VLOOKUP(F146,#REF!,3,TRUE),IF(G146="Azul",VLOOKUP(F146,#REF!,3,TRUE),VLOOKUP(F146,#REF!,3,TRUE)))</f>
        <v>#REF!</v>
      </c>
      <c r="I146" s="9">
        <f>IFERROR(VLOOKUP(C146,Palmares!#REF!,4,FALSE),0)</f>
        <v>0</v>
      </c>
    </row>
    <row r="147" spans="1:9" ht="15.6" x14ac:dyDescent="0.3">
      <c r="A147" s="36" t="s">
        <v>51</v>
      </c>
      <c r="C147" s="1">
        <v>22617</v>
      </c>
      <c r="D147" s="2" t="s">
        <v>326</v>
      </c>
      <c r="E147" s="2" t="s">
        <v>327</v>
      </c>
      <c r="F147" s="9">
        <v>16.399999999999999</v>
      </c>
      <c r="G147" t="str">
        <f>IF(A147="Damas","Rojas",IF(F147&lt;18.8,"Azul","Blanca"))</f>
        <v>Rojas</v>
      </c>
      <c r="H147" t="e">
        <f>IF(G147="Rojas",VLOOKUP(F147,#REF!,3,TRUE),IF(G147="Azul",VLOOKUP(F147,#REF!,3,TRUE),VLOOKUP(F147,#REF!,3,TRUE)))</f>
        <v>#REF!</v>
      </c>
      <c r="I147" s="9">
        <f>IFERROR(VLOOKUP(C147,Palmares!#REF!,4,FALSE),0)</f>
        <v>0</v>
      </c>
    </row>
    <row r="148" spans="1:9" ht="15.6" x14ac:dyDescent="0.3">
      <c r="A148" s="37" t="s">
        <v>17</v>
      </c>
      <c r="C148" s="1">
        <v>21866</v>
      </c>
      <c r="D148" s="2" t="s">
        <v>255</v>
      </c>
      <c r="E148" s="2" t="s">
        <v>223</v>
      </c>
      <c r="F148" s="9">
        <v>21</v>
      </c>
      <c r="G148" t="str">
        <f>+IF(F148&lt;18.8,"Azul","Blanca")</f>
        <v>Blanca</v>
      </c>
      <c r="H148" t="e">
        <f>IF(G148="Rojas",VLOOKUP(F148,#REF!,3,TRUE),IF(G148="Azul",VLOOKUP(F148,#REF!,3,TRUE),VLOOKUP(F148,#REF!,3,TRUE)))</f>
        <v>#REF!</v>
      </c>
      <c r="I148" s="9">
        <f>IFERROR(VLOOKUP(C148,Palmares!#REF!,4,FALSE),0)</f>
        <v>0</v>
      </c>
    </row>
    <row r="149" spans="1:9" ht="15.6" x14ac:dyDescent="0.3">
      <c r="A149" s="37" t="s">
        <v>17</v>
      </c>
      <c r="C149" s="1">
        <v>27233</v>
      </c>
      <c r="D149" s="2" t="s">
        <v>193</v>
      </c>
      <c r="E149" s="2" t="s">
        <v>194</v>
      </c>
      <c r="F149" s="9">
        <v>28.7</v>
      </c>
      <c r="G149" t="str">
        <f>IF(A149="Damas","Rojas",IF(F149&lt;18.8,"Azul","Blanca"))</f>
        <v>Blanca</v>
      </c>
      <c r="H149" t="e">
        <f>IF(G149="Rojas",VLOOKUP(F149,#REF!,3,TRUE),IF(G149="Azul",VLOOKUP(F149,#REF!,3,TRUE),VLOOKUP(F149,#REF!,3,TRUE)))</f>
        <v>#REF!</v>
      </c>
      <c r="I149" s="9">
        <f>IFERROR(VLOOKUP(C149,Palmares!#REF!,4,FALSE),0)</f>
        <v>0</v>
      </c>
    </row>
    <row r="150" spans="1:9" ht="15.6" x14ac:dyDescent="0.3">
      <c r="A150" s="37" t="s">
        <v>9</v>
      </c>
      <c r="C150" s="1">
        <v>22405</v>
      </c>
      <c r="D150" s="2" t="s">
        <v>278</v>
      </c>
      <c r="E150" s="2" t="s">
        <v>279</v>
      </c>
      <c r="F150"/>
      <c r="G150" t="str">
        <f t="shared" ref="G150:G155" si="10">+IF(F150&lt;18.8,"Azul","Blanca")</f>
        <v>Azul</v>
      </c>
      <c r="H150" t="e">
        <f>IF(G150="Rojas",VLOOKUP(F150,#REF!,3,TRUE),IF(G150="Azul",VLOOKUP(F150,#REF!,3,TRUE),VLOOKUP(F150,#REF!,3,TRUE)))</f>
        <v>#REF!</v>
      </c>
      <c r="I150" s="9">
        <f>IFERROR(VLOOKUP(C150,Palmares!#REF!,4,FALSE),0)</f>
        <v>0</v>
      </c>
    </row>
    <row r="151" spans="1:9" ht="15.6" x14ac:dyDescent="0.3">
      <c r="A151" s="37" t="s">
        <v>9</v>
      </c>
      <c r="C151" s="1">
        <v>99999</v>
      </c>
      <c r="D151" s="2" t="s">
        <v>280</v>
      </c>
      <c r="E151" s="2" t="s">
        <v>61</v>
      </c>
      <c r="F151"/>
      <c r="G151" t="str">
        <f t="shared" si="10"/>
        <v>Azul</v>
      </c>
      <c r="H151" t="e">
        <f>IF(G151="Rojas",VLOOKUP(F151,#REF!,3,TRUE),IF(G151="Azul",VLOOKUP(F151,#REF!,3,TRUE),VLOOKUP(F151,#REF!,3,TRUE)))</f>
        <v>#REF!</v>
      </c>
      <c r="I151" s="9">
        <f>IFERROR(VLOOKUP(C151,Palmares!#REF!,4,FALSE),0)</f>
        <v>0</v>
      </c>
    </row>
    <row r="152" spans="1:9" ht="15.6" x14ac:dyDescent="0.3">
      <c r="A152" s="39" t="s">
        <v>9</v>
      </c>
      <c r="C152" s="1">
        <v>18094</v>
      </c>
      <c r="D152" s="2" t="s">
        <v>281</v>
      </c>
      <c r="E152" s="2" t="s">
        <v>282</v>
      </c>
      <c r="F152"/>
      <c r="G152" t="str">
        <f t="shared" si="10"/>
        <v>Azul</v>
      </c>
      <c r="H152" t="e">
        <f>IF(G152="Rojas",VLOOKUP(F152,#REF!,3,TRUE),IF(G152="Azul",VLOOKUP(F152,#REF!,3,TRUE),VLOOKUP(F152,#REF!,3,TRUE)))</f>
        <v>#REF!</v>
      </c>
      <c r="I152" s="9">
        <f>IFERROR(VLOOKUP(C152,Palmares!#REF!,4,FALSE),0)</f>
        <v>0</v>
      </c>
    </row>
    <row r="153" spans="1:9" ht="15.6" x14ac:dyDescent="0.3">
      <c r="A153" s="2" t="s">
        <v>9</v>
      </c>
      <c r="C153" s="1">
        <v>9530</v>
      </c>
      <c r="D153" s="2" t="s">
        <v>283</v>
      </c>
      <c r="E153" s="2" t="s">
        <v>284</v>
      </c>
      <c r="F153"/>
      <c r="G153" t="str">
        <f t="shared" si="10"/>
        <v>Azul</v>
      </c>
      <c r="H153" t="e">
        <f>IF(G153="Rojas",VLOOKUP(F153,#REF!,3,TRUE),IF(G153="Azul",VLOOKUP(F153,#REF!,3,TRUE),VLOOKUP(F153,#REF!,3,TRUE)))</f>
        <v>#REF!</v>
      </c>
      <c r="I153" s="9">
        <f>IFERROR(VLOOKUP(C153,Palmares!#REF!,4,FALSE),0)</f>
        <v>0</v>
      </c>
    </row>
    <row r="154" spans="1:9" ht="15.6" x14ac:dyDescent="0.3">
      <c r="A154" s="36" t="s">
        <v>17</v>
      </c>
      <c r="C154" s="1">
        <v>28706</v>
      </c>
      <c r="D154" s="2" t="s">
        <v>276</v>
      </c>
      <c r="E154" s="2" t="s">
        <v>277</v>
      </c>
      <c r="F154" s="9">
        <v>18.7</v>
      </c>
      <c r="G154" t="str">
        <f t="shared" si="10"/>
        <v>Azul</v>
      </c>
      <c r="H154" t="e">
        <f>IF(G154="Rojas",VLOOKUP(F154,#REF!,3,TRUE),IF(G154="Azul",VLOOKUP(F154,#REF!,3,TRUE),VLOOKUP(F154,#REF!,3,TRUE)))</f>
        <v>#REF!</v>
      </c>
      <c r="I154" s="9">
        <f>IFERROR(VLOOKUP(C154,Palmares!#REF!,4,FALSE),0)</f>
        <v>0</v>
      </c>
    </row>
    <row r="155" spans="1:9" ht="15.6" x14ac:dyDescent="0.3">
      <c r="A155" s="39" t="s">
        <v>17</v>
      </c>
      <c r="B155">
        <v>6</v>
      </c>
      <c r="C155" s="4">
        <v>18908</v>
      </c>
      <c r="D155" s="41" t="s">
        <v>190</v>
      </c>
      <c r="E155" s="2" t="s">
        <v>88</v>
      </c>
      <c r="F155" s="9">
        <v>11.4</v>
      </c>
      <c r="G155" t="str">
        <f t="shared" si="10"/>
        <v>Azul</v>
      </c>
      <c r="H155" t="e">
        <f>IF(G155="Rojas",VLOOKUP(F155,#REF!,3,TRUE),IF(G155="Azul",VLOOKUP(F155,#REF!,3,TRUE),VLOOKUP(F155,#REF!,3,TRUE)))</f>
        <v>#REF!</v>
      </c>
      <c r="I155" s="9">
        <f>IFERROR(VLOOKUP(C155,Palmares!#REF!,4,FALSE),0)</f>
        <v>0</v>
      </c>
    </row>
    <row r="156" spans="1:9" ht="15.6" x14ac:dyDescent="0.3">
      <c r="A156" s="2" t="s">
        <v>17</v>
      </c>
      <c r="B156">
        <v>6</v>
      </c>
      <c r="C156" s="1">
        <v>4080</v>
      </c>
      <c r="D156" s="41" t="s">
        <v>191</v>
      </c>
      <c r="E156" s="2" t="s">
        <v>106</v>
      </c>
      <c r="F156" s="9">
        <v>12.4</v>
      </c>
      <c r="G156" t="str">
        <f>IF(A156="Damas","Rojas",IF(F156&lt;18.8,"Azul","Blanca"))</f>
        <v>Azul</v>
      </c>
      <c r="H156" t="e">
        <f>IF(G156="Rojas",VLOOKUP(F156,#REF!,3,TRUE),IF(G156="Azul",VLOOKUP(F156,#REF!,3,TRUE),VLOOKUP(F156,#REF!,3,TRUE)))</f>
        <v>#REF!</v>
      </c>
      <c r="I156" s="9">
        <f>IFERROR(VLOOKUP(C156,Palmares!#REF!,4,FALSE),0)</f>
        <v>0</v>
      </c>
    </row>
    <row r="157" spans="1:9" ht="15.6" x14ac:dyDescent="0.3">
      <c r="A157" s="40" t="s">
        <v>9</v>
      </c>
      <c r="C157" s="1">
        <v>20262</v>
      </c>
      <c r="D157" s="2" t="s">
        <v>291</v>
      </c>
      <c r="E157" s="2" t="s">
        <v>292</v>
      </c>
      <c r="F157"/>
      <c r="G157" t="str">
        <f t="shared" ref="G157:G171" si="11">+IF(F157&lt;18.8,"Azul","Blanca")</f>
        <v>Azul</v>
      </c>
      <c r="H157" t="e">
        <f>IF(G157="Rojas",VLOOKUP(F157,#REF!,3,TRUE),IF(G157="Azul",VLOOKUP(F157,#REF!,3,TRUE),VLOOKUP(F157,#REF!,3,TRUE)))</f>
        <v>#REF!</v>
      </c>
      <c r="I157" s="9">
        <f>IFERROR(VLOOKUP(C157,Palmares!#REF!,4,FALSE),0)</f>
        <v>0</v>
      </c>
    </row>
    <row r="158" spans="1:9" ht="15.6" x14ac:dyDescent="0.3">
      <c r="A158" s="2" t="s">
        <v>9</v>
      </c>
      <c r="C158" s="1">
        <v>22119</v>
      </c>
      <c r="D158" s="2" t="s">
        <v>293</v>
      </c>
      <c r="E158" s="2" t="s">
        <v>294</v>
      </c>
      <c r="F158"/>
      <c r="G158" t="str">
        <f t="shared" si="11"/>
        <v>Azul</v>
      </c>
      <c r="H158" t="e">
        <f>IF(G158="Rojas",VLOOKUP(F158,#REF!,3,TRUE),IF(G158="Azul",VLOOKUP(F158,#REF!,3,TRUE),VLOOKUP(F158,#REF!,3,TRUE)))</f>
        <v>#REF!</v>
      </c>
      <c r="I158" s="9">
        <f>IFERROR(VLOOKUP(C158,Palmares!#REF!,4,FALSE),0)</f>
        <v>0</v>
      </c>
    </row>
    <row r="159" spans="1:9" ht="15.6" x14ac:dyDescent="0.3">
      <c r="A159" s="36" t="s">
        <v>9</v>
      </c>
      <c r="C159" s="1">
        <v>20453</v>
      </c>
      <c r="D159" s="2" t="s">
        <v>295</v>
      </c>
      <c r="E159" s="2" t="s">
        <v>296</v>
      </c>
      <c r="F159"/>
      <c r="G159" t="str">
        <f t="shared" si="11"/>
        <v>Azul</v>
      </c>
      <c r="H159" t="e">
        <f>IF(G159="Rojas",VLOOKUP(F159,#REF!,3,TRUE),IF(G159="Azul",VLOOKUP(F159,#REF!,3,TRUE),VLOOKUP(F159,#REF!,3,TRUE)))</f>
        <v>#REF!</v>
      </c>
      <c r="I159" s="9">
        <f>IFERROR(VLOOKUP(C159,Palmares!#REF!,4,FALSE),0)</f>
        <v>0</v>
      </c>
    </row>
    <row r="160" spans="1:9" ht="15.6" x14ac:dyDescent="0.3">
      <c r="A160" s="37" t="s">
        <v>9</v>
      </c>
      <c r="C160" s="1">
        <v>22320</v>
      </c>
      <c r="D160" s="2" t="s">
        <v>297</v>
      </c>
      <c r="E160" s="2" t="s">
        <v>298</v>
      </c>
      <c r="F160"/>
      <c r="G160" t="str">
        <f t="shared" si="11"/>
        <v>Azul</v>
      </c>
      <c r="H160" t="e">
        <f>IF(G160="Rojas",VLOOKUP(F160,#REF!,3,TRUE),IF(G160="Azul",VLOOKUP(F160,#REF!,3,TRUE),VLOOKUP(F160,#REF!,3,TRUE)))</f>
        <v>#REF!</v>
      </c>
      <c r="I160" s="9">
        <f>IFERROR(VLOOKUP(C160,Palmares!#REF!,4,FALSE),0)</f>
        <v>0</v>
      </c>
    </row>
    <row r="161" spans="1:9" ht="15.6" x14ac:dyDescent="0.3">
      <c r="A161" s="39" t="s">
        <v>9</v>
      </c>
      <c r="C161" s="1">
        <v>21160</v>
      </c>
      <c r="D161" s="2" t="s">
        <v>299</v>
      </c>
      <c r="E161" s="2" t="s">
        <v>300</v>
      </c>
      <c r="F161"/>
      <c r="G161" t="str">
        <f t="shared" si="11"/>
        <v>Azul</v>
      </c>
      <c r="H161" t="e">
        <f>IF(G161="Rojas",VLOOKUP(F161,#REF!,3,TRUE),IF(G161="Azul",VLOOKUP(F161,#REF!,3,TRUE),VLOOKUP(F161,#REF!,3,TRUE)))</f>
        <v>#REF!</v>
      </c>
      <c r="I161" s="9">
        <f>IFERROR(VLOOKUP(C161,Palmares!#REF!,4,FALSE),0)</f>
        <v>0</v>
      </c>
    </row>
    <row r="162" spans="1:9" ht="15.6" x14ac:dyDescent="0.3">
      <c r="A162" s="2" t="s">
        <v>9</v>
      </c>
      <c r="C162" s="1">
        <v>12811</v>
      </c>
      <c r="D162" s="2" t="s">
        <v>301</v>
      </c>
      <c r="E162" s="2" t="s">
        <v>99</v>
      </c>
      <c r="F162"/>
      <c r="G162" t="str">
        <f t="shared" si="11"/>
        <v>Azul</v>
      </c>
      <c r="H162" t="e">
        <f>IF(G162="Rojas",VLOOKUP(F162,#REF!,3,TRUE),IF(G162="Azul",VLOOKUP(F162,#REF!,3,TRUE),VLOOKUP(F162,#REF!,3,TRUE)))</f>
        <v>#REF!</v>
      </c>
      <c r="I162" s="9">
        <f>IFERROR(VLOOKUP(C162,Palmares!#REF!,4,FALSE),0)</f>
        <v>0</v>
      </c>
    </row>
    <row r="163" spans="1:9" ht="15.6" x14ac:dyDescent="0.3">
      <c r="A163" s="36" t="s">
        <v>17</v>
      </c>
      <c r="C163" s="1">
        <v>32238</v>
      </c>
      <c r="D163" s="2" t="s">
        <v>289</v>
      </c>
      <c r="E163" s="2" t="s">
        <v>290</v>
      </c>
      <c r="F163" s="9">
        <v>32.9</v>
      </c>
      <c r="G163" t="str">
        <f t="shared" si="11"/>
        <v>Blanca</v>
      </c>
      <c r="H163" t="e">
        <f>IF(G163="Rojas",VLOOKUP(F163,#REF!,3,TRUE),IF(G163="Azul",VLOOKUP(F163,#REF!,3,TRUE),VLOOKUP(F163,#REF!,3,TRUE)))</f>
        <v>#REF!</v>
      </c>
      <c r="I163" s="9">
        <f>IFERROR(VLOOKUP(C163,Palmares!#REF!,4,FALSE),0)</f>
        <v>0</v>
      </c>
    </row>
    <row r="164" spans="1:9" ht="15.6" x14ac:dyDescent="0.3">
      <c r="A164" s="37" t="s">
        <v>17</v>
      </c>
      <c r="C164" s="1">
        <v>20408</v>
      </c>
      <c r="D164" s="2" t="s">
        <v>302</v>
      </c>
      <c r="E164" s="2" t="s">
        <v>303</v>
      </c>
      <c r="F164" s="9">
        <v>18.7</v>
      </c>
      <c r="G164" t="str">
        <f t="shared" si="11"/>
        <v>Azul</v>
      </c>
      <c r="H164" t="e">
        <f>IF(G164="Rojas",VLOOKUP(F164,#REF!,3,TRUE),IF(G164="Azul",VLOOKUP(F164,#REF!,3,TRUE),VLOOKUP(F164,#REF!,3,TRUE)))</f>
        <v>#REF!</v>
      </c>
      <c r="I164" s="9">
        <f>IFERROR(VLOOKUP(C164,Palmares!#REF!,4,FALSE),0)</f>
        <v>0</v>
      </c>
    </row>
    <row r="165" spans="1:9" ht="15.6" x14ac:dyDescent="0.3">
      <c r="A165" s="37" t="s">
        <v>9</v>
      </c>
      <c r="C165" s="1">
        <v>9958</v>
      </c>
      <c r="D165" s="2" t="s">
        <v>306</v>
      </c>
      <c r="E165" s="2" t="s">
        <v>307</v>
      </c>
      <c r="F165"/>
      <c r="G165" t="str">
        <f t="shared" si="11"/>
        <v>Azul</v>
      </c>
      <c r="H165" t="e">
        <f>IF(G165="Rojas",VLOOKUP(F165,#REF!,3,TRUE),IF(G165="Azul",VLOOKUP(F165,#REF!,3,TRUE),VLOOKUP(F165,#REF!,3,TRUE)))</f>
        <v>#REF!</v>
      </c>
      <c r="I165" s="9">
        <f>IFERROR(VLOOKUP(C165,Palmares!#REF!,4,FALSE),0)</f>
        <v>0</v>
      </c>
    </row>
    <row r="166" spans="1:9" ht="15.6" x14ac:dyDescent="0.3">
      <c r="A166" s="37" t="s">
        <v>17</v>
      </c>
      <c r="C166" s="1">
        <v>13005</v>
      </c>
      <c r="D166" s="2" t="s">
        <v>304</v>
      </c>
      <c r="E166" s="2" t="s">
        <v>305</v>
      </c>
      <c r="F166" s="9">
        <v>14.6</v>
      </c>
      <c r="G166" t="str">
        <f t="shared" si="11"/>
        <v>Azul</v>
      </c>
      <c r="H166" t="e">
        <f>IF(G166="Rojas",VLOOKUP(F166,#REF!,3,TRUE),IF(G166="Azul",VLOOKUP(F166,#REF!,3,TRUE),VLOOKUP(F166,#REF!,3,TRUE)))</f>
        <v>#REF!</v>
      </c>
      <c r="I166" s="9">
        <f>IFERROR(VLOOKUP(C166,Palmares!#REF!,4,FALSE),0)</f>
        <v>0</v>
      </c>
    </row>
    <row r="167" spans="1:9" ht="15.6" x14ac:dyDescent="0.3">
      <c r="A167" s="39" t="s">
        <v>17</v>
      </c>
      <c r="C167" s="1">
        <v>36769</v>
      </c>
      <c r="D167" s="2" t="s">
        <v>308</v>
      </c>
      <c r="E167" s="2" t="s">
        <v>309</v>
      </c>
      <c r="F167" s="9">
        <v>37.1</v>
      </c>
      <c r="G167" t="str">
        <f t="shared" si="11"/>
        <v>Blanca</v>
      </c>
      <c r="H167" t="e">
        <f>IF(G167="Rojas",VLOOKUP(F167,#REF!,3,TRUE),IF(G167="Azul",VLOOKUP(F167,#REF!,3,TRUE),VLOOKUP(F167,#REF!,3,TRUE)))</f>
        <v>#REF!</v>
      </c>
      <c r="I167" s="9">
        <f>IFERROR(VLOOKUP(C167,Palmares!#REF!,4,FALSE),0)</f>
        <v>0</v>
      </c>
    </row>
    <row r="168" spans="1:9" ht="15.6" x14ac:dyDescent="0.3">
      <c r="A168" s="2" t="s">
        <v>17</v>
      </c>
      <c r="C168" s="1">
        <v>24140</v>
      </c>
      <c r="D168" s="2" t="s">
        <v>363</v>
      </c>
      <c r="E168" s="2" t="s">
        <v>119</v>
      </c>
      <c r="F168" s="9">
        <v>26.3</v>
      </c>
      <c r="G168" t="str">
        <f t="shared" si="11"/>
        <v>Blanca</v>
      </c>
      <c r="H168" t="e">
        <f>IF(G168="Rojas",VLOOKUP(F168,#REF!,3,TRUE),IF(G168="Azul",VLOOKUP(F168,#REF!,3,TRUE),VLOOKUP(F168,#REF!,3,TRUE)))</f>
        <v>#REF!</v>
      </c>
      <c r="I168" s="9">
        <f>IFERROR(VLOOKUP(C168,Palmares!#REF!,4,FALSE),0)</f>
        <v>0</v>
      </c>
    </row>
    <row r="169" spans="1:9" ht="15.6" x14ac:dyDescent="0.3">
      <c r="A169" s="2" t="s">
        <v>9</v>
      </c>
      <c r="C169" s="1">
        <v>22018</v>
      </c>
      <c r="D169" s="2" t="s">
        <v>313</v>
      </c>
      <c r="E169" s="2" t="s">
        <v>314</v>
      </c>
      <c r="F169"/>
      <c r="G169" t="str">
        <f t="shared" si="11"/>
        <v>Azul</v>
      </c>
      <c r="H169" t="e">
        <f>IF(G169="Rojas",VLOOKUP(F169,#REF!,3,TRUE),IF(G169="Azul",VLOOKUP(F169,#REF!,3,TRUE),VLOOKUP(F169,#REF!,3,TRUE)))</f>
        <v>#REF!</v>
      </c>
      <c r="I169" s="9">
        <f>IFERROR(VLOOKUP(C169,Palmares!#REF!,4,FALSE),0)</f>
        <v>0</v>
      </c>
    </row>
    <row r="170" spans="1:9" ht="15.6" x14ac:dyDescent="0.3">
      <c r="A170" s="36" t="s">
        <v>9</v>
      </c>
      <c r="C170" s="1">
        <v>20255</v>
      </c>
      <c r="D170" s="2" t="s">
        <v>315</v>
      </c>
      <c r="E170" s="2" t="s">
        <v>316</v>
      </c>
      <c r="F170"/>
      <c r="G170" t="str">
        <f t="shared" si="11"/>
        <v>Azul</v>
      </c>
      <c r="H170" t="e">
        <f>IF(G170="Rojas",VLOOKUP(F170,#REF!,3,TRUE),IF(G170="Azul",VLOOKUP(F170,#REF!,3,TRUE),VLOOKUP(F170,#REF!,3,TRUE)))</f>
        <v>#REF!</v>
      </c>
      <c r="I170" s="9">
        <f>IFERROR(VLOOKUP(C170,Palmares!#REF!,4,FALSE),0)</f>
        <v>0</v>
      </c>
    </row>
    <row r="171" spans="1:9" ht="15.6" x14ac:dyDescent="0.3">
      <c r="A171" s="37" t="s">
        <v>9</v>
      </c>
      <c r="C171" s="38">
        <v>20566</v>
      </c>
      <c r="D171" s="2" t="s">
        <v>317</v>
      </c>
      <c r="E171" s="2" t="s">
        <v>318</v>
      </c>
      <c r="F171"/>
      <c r="G171" t="str">
        <f t="shared" si="11"/>
        <v>Azul</v>
      </c>
      <c r="H171" t="e">
        <f>IF(G171="Rojas",VLOOKUP(F171,#REF!,3,TRUE),IF(G171="Azul",VLOOKUP(F171,#REF!,3,TRUE),VLOOKUP(F171,#REF!,3,TRUE)))</f>
        <v>#REF!</v>
      </c>
      <c r="I171" s="9">
        <f>IFERROR(VLOOKUP(C171,Palmares!#REF!,4,FALSE),0)</f>
        <v>0</v>
      </c>
    </row>
    <row r="172" spans="1:9" ht="15.6" x14ac:dyDescent="0.3">
      <c r="A172" s="39" t="s">
        <v>51</v>
      </c>
      <c r="C172" s="1">
        <v>23514</v>
      </c>
      <c r="D172" s="2" t="s">
        <v>311</v>
      </c>
      <c r="E172" s="2" t="s">
        <v>312</v>
      </c>
      <c r="F172" s="9">
        <v>18.899999999999999</v>
      </c>
      <c r="G172" t="str">
        <f>IF(A172="Damas","Rojas",IF(F172&lt;18.8,"Azul","Blanca"))</f>
        <v>Rojas</v>
      </c>
      <c r="H172" t="e">
        <f>IF(G172="Rojas",VLOOKUP(F172,#REF!,3,TRUE),IF(G172="Azul",VLOOKUP(F172,#REF!,3,TRUE),VLOOKUP(F172,#REF!,3,TRUE)))</f>
        <v>#REF!</v>
      </c>
      <c r="I172" s="9">
        <f>IFERROR(VLOOKUP(C172,Palmares!#REF!,4,FALSE),0)</f>
        <v>0</v>
      </c>
    </row>
    <row r="173" spans="1:9" ht="15.6" x14ac:dyDescent="0.3">
      <c r="A173" s="2" t="s">
        <v>9</v>
      </c>
      <c r="C173" s="1">
        <v>10492</v>
      </c>
      <c r="D173" s="2" t="s">
        <v>321</v>
      </c>
      <c r="E173" s="2" t="s">
        <v>322</v>
      </c>
      <c r="F173"/>
      <c r="G173" t="str">
        <f t="shared" ref="G173:G184" si="12">+IF(F173&lt;18.8,"Azul","Blanca")</f>
        <v>Azul</v>
      </c>
      <c r="H173" t="e">
        <f>IF(G173="Rojas",VLOOKUP(F173,#REF!,3,TRUE),IF(G173="Azul",VLOOKUP(F173,#REF!,3,TRUE),VLOOKUP(F173,#REF!,3,TRUE)))</f>
        <v>#REF!</v>
      </c>
      <c r="I173" s="9">
        <f>IFERROR(VLOOKUP(C173,Palmares!#REF!,4,FALSE),0)</f>
        <v>0</v>
      </c>
    </row>
    <row r="174" spans="1:9" ht="15.6" x14ac:dyDescent="0.3">
      <c r="A174" s="36" t="s">
        <v>9</v>
      </c>
      <c r="C174" s="1">
        <v>10488</v>
      </c>
      <c r="D174" s="2" t="s">
        <v>323</v>
      </c>
      <c r="E174" s="2" t="s">
        <v>31</v>
      </c>
      <c r="F174"/>
      <c r="G174" t="str">
        <f t="shared" si="12"/>
        <v>Azul</v>
      </c>
      <c r="H174" t="e">
        <f>IF(G174="Rojas",VLOOKUP(F174,#REF!,3,TRUE),IF(G174="Azul",VLOOKUP(F174,#REF!,3,TRUE),VLOOKUP(F174,#REF!,3,TRUE)))</f>
        <v>#REF!</v>
      </c>
      <c r="I174" s="9">
        <f>IFERROR(VLOOKUP(C174,Palmares!#REF!,4,FALSE),0)</f>
        <v>0</v>
      </c>
    </row>
    <row r="175" spans="1:9" ht="15.6" x14ac:dyDescent="0.3">
      <c r="A175" s="37" t="s">
        <v>9</v>
      </c>
      <c r="C175" s="1">
        <v>10522</v>
      </c>
      <c r="D175" s="2" t="s">
        <v>324</v>
      </c>
      <c r="E175" s="2" t="s">
        <v>325</v>
      </c>
      <c r="F175"/>
      <c r="G175" t="str">
        <f t="shared" si="12"/>
        <v>Azul</v>
      </c>
      <c r="H175" t="e">
        <f>IF(G175="Rojas",VLOOKUP(F175,#REF!,3,TRUE),IF(G175="Azul",VLOOKUP(F175,#REF!,3,TRUE),VLOOKUP(F175,#REF!,3,TRUE)))</f>
        <v>#REF!</v>
      </c>
      <c r="I175" s="9">
        <f>IFERROR(VLOOKUP(C175,Palmares!#REF!,4,FALSE),0)</f>
        <v>0</v>
      </c>
    </row>
    <row r="176" spans="1:9" ht="15.6" x14ac:dyDescent="0.3">
      <c r="A176" s="39" t="s">
        <v>17</v>
      </c>
      <c r="B176">
        <v>6</v>
      </c>
      <c r="C176" s="3">
        <v>16501</v>
      </c>
      <c r="D176" s="41" t="s">
        <v>249</v>
      </c>
      <c r="E176" s="2" t="s">
        <v>250</v>
      </c>
      <c r="F176">
        <v>12.6</v>
      </c>
      <c r="G176" t="str">
        <f t="shared" si="12"/>
        <v>Azul</v>
      </c>
      <c r="H176" t="e">
        <f>IF(G176="Rojas",VLOOKUP(F176,#REF!,3,TRUE),IF(G176="Azul",VLOOKUP(F176,#REF!,3,TRUE),VLOOKUP(F176,#REF!,3,TRUE)))</f>
        <v>#REF!</v>
      </c>
      <c r="I176" s="9">
        <f>IFERROR(VLOOKUP(C176,Palmares!#REF!,4,FALSE),0)</f>
        <v>0</v>
      </c>
    </row>
    <row r="177" spans="1:9" ht="15.6" x14ac:dyDescent="0.3">
      <c r="A177" s="2" t="s">
        <v>17</v>
      </c>
      <c r="B177">
        <v>6</v>
      </c>
      <c r="C177" s="1">
        <v>32182</v>
      </c>
      <c r="D177" s="41" t="s">
        <v>188</v>
      </c>
      <c r="E177" s="2" t="s">
        <v>189</v>
      </c>
      <c r="F177" s="9">
        <v>20.399999999999999</v>
      </c>
      <c r="G177" t="str">
        <f t="shared" si="12"/>
        <v>Blanca</v>
      </c>
      <c r="H177" t="e">
        <f>IF(G177="Rojas",VLOOKUP(F177,#REF!,3,TRUE),IF(G177="Azul",VLOOKUP(F177,#REF!,3,TRUE),VLOOKUP(F177,#REF!,3,TRUE)))</f>
        <v>#REF!</v>
      </c>
      <c r="I177" s="9">
        <f>IFERROR(VLOOKUP(C177,Palmares!#REF!,4,FALSE),0)</f>
        <v>0</v>
      </c>
    </row>
    <row r="178" spans="1:9" ht="15.6" x14ac:dyDescent="0.3">
      <c r="A178" s="36" t="s">
        <v>9</v>
      </c>
      <c r="C178" s="1">
        <v>17914</v>
      </c>
      <c r="D178" s="2" t="s">
        <v>329</v>
      </c>
      <c r="E178" s="2" t="s">
        <v>330</v>
      </c>
      <c r="F178"/>
      <c r="G178" t="str">
        <f t="shared" si="12"/>
        <v>Azul</v>
      </c>
      <c r="H178" t="e">
        <f>IF(G178="Rojas",VLOOKUP(F178,#REF!,3,TRUE),IF(G178="Azul",VLOOKUP(F178,#REF!,3,TRUE),VLOOKUP(F178,#REF!,3,TRUE)))</f>
        <v>#REF!</v>
      </c>
      <c r="I178" s="9">
        <f>IFERROR(VLOOKUP(C178,Palmares!#REF!,4,FALSE),0)</f>
        <v>0</v>
      </c>
    </row>
    <row r="179" spans="1:9" ht="15.6" x14ac:dyDescent="0.3">
      <c r="A179" s="37" t="s">
        <v>9</v>
      </c>
      <c r="C179" s="1">
        <v>20977</v>
      </c>
      <c r="D179" s="2" t="s">
        <v>329</v>
      </c>
      <c r="E179" s="2" t="s">
        <v>331</v>
      </c>
      <c r="F179"/>
      <c r="G179" t="str">
        <f t="shared" si="12"/>
        <v>Azul</v>
      </c>
      <c r="H179" t="e">
        <f>IF(G179="Rojas",VLOOKUP(F179,#REF!,3,TRUE),IF(G179="Azul",VLOOKUP(F179,#REF!,3,TRUE),VLOOKUP(F179,#REF!,3,TRUE)))</f>
        <v>#REF!</v>
      </c>
      <c r="I179" s="9">
        <f>IFERROR(VLOOKUP(C179,Palmares!#REF!,4,FALSE),0)</f>
        <v>0</v>
      </c>
    </row>
    <row r="180" spans="1:9" ht="15.6" x14ac:dyDescent="0.3">
      <c r="A180" s="37" t="s">
        <v>9</v>
      </c>
      <c r="C180" s="1">
        <v>28281</v>
      </c>
      <c r="D180" s="2" t="s">
        <v>332</v>
      </c>
      <c r="E180" s="2" t="s">
        <v>61</v>
      </c>
      <c r="F180"/>
      <c r="G180" t="str">
        <f t="shared" si="12"/>
        <v>Azul</v>
      </c>
      <c r="H180" t="e">
        <f>IF(G180="Rojas",VLOOKUP(F180,#REF!,3,TRUE),IF(G180="Azul",VLOOKUP(F180,#REF!,3,TRUE),VLOOKUP(F180,#REF!,3,TRUE)))</f>
        <v>#REF!</v>
      </c>
      <c r="I180" s="9">
        <f>IFERROR(VLOOKUP(C180,Palmares!#REF!,4,FALSE),0)</f>
        <v>0</v>
      </c>
    </row>
    <row r="181" spans="1:9" ht="15.6" x14ac:dyDescent="0.3">
      <c r="A181" s="37" t="s">
        <v>17</v>
      </c>
      <c r="C181" s="1">
        <v>19187</v>
      </c>
      <c r="D181" s="2" t="s">
        <v>328</v>
      </c>
      <c r="E181" s="2" t="s">
        <v>200</v>
      </c>
      <c r="F181" s="9">
        <v>19.7</v>
      </c>
      <c r="G181" t="str">
        <f t="shared" si="12"/>
        <v>Blanca</v>
      </c>
      <c r="H181" t="e">
        <f>IF(G181="Rojas",VLOOKUP(F181,#REF!,3,TRUE),IF(G181="Azul",VLOOKUP(F181,#REF!,3,TRUE),VLOOKUP(F181,#REF!,3,TRUE)))</f>
        <v>#REF!</v>
      </c>
      <c r="I181" s="9">
        <f>IFERROR(VLOOKUP(C181,Palmares!#REF!,4,FALSE),0)</f>
        <v>0</v>
      </c>
    </row>
    <row r="182" spans="1:9" ht="15.6" x14ac:dyDescent="0.3">
      <c r="A182" s="37" t="s">
        <v>9</v>
      </c>
      <c r="C182" s="1">
        <v>10811</v>
      </c>
      <c r="D182" s="2" t="s">
        <v>335</v>
      </c>
      <c r="E182" s="2" t="s">
        <v>336</v>
      </c>
      <c r="F182"/>
      <c r="G182" t="str">
        <f t="shared" si="12"/>
        <v>Azul</v>
      </c>
      <c r="H182" t="e">
        <f>IF(G182="Rojas",VLOOKUP(F182,#REF!,3,TRUE),IF(G182="Azul",VLOOKUP(F182,#REF!,3,TRUE),VLOOKUP(F182,#REF!,3,TRUE)))</f>
        <v>#REF!</v>
      </c>
      <c r="I182" s="9">
        <f>IFERROR(VLOOKUP(C182,Palmares!#REF!,4,FALSE),0)</f>
        <v>0</v>
      </c>
    </row>
    <row r="183" spans="1:9" ht="15.6" x14ac:dyDescent="0.3">
      <c r="A183" s="37" t="s">
        <v>9</v>
      </c>
      <c r="C183" s="1">
        <v>26409</v>
      </c>
      <c r="D183" s="2" t="s">
        <v>337</v>
      </c>
      <c r="E183" s="2" t="s">
        <v>338</v>
      </c>
      <c r="F183"/>
      <c r="G183" t="str">
        <f t="shared" si="12"/>
        <v>Azul</v>
      </c>
      <c r="H183" t="e">
        <f>IF(G183="Rojas",VLOOKUP(F183,#REF!,3,TRUE),IF(G183="Azul",VLOOKUP(F183,#REF!,3,TRUE),VLOOKUP(F183,#REF!,3,TRUE)))</f>
        <v>#REF!</v>
      </c>
      <c r="I183" s="9">
        <f>IFERROR(VLOOKUP(C183,Palmares!#REF!,4,FALSE),0)</f>
        <v>0</v>
      </c>
    </row>
    <row r="184" spans="1:9" ht="15.6" x14ac:dyDescent="0.3">
      <c r="A184" s="37" t="s">
        <v>17</v>
      </c>
      <c r="B184">
        <v>7</v>
      </c>
      <c r="C184" s="1">
        <v>28433</v>
      </c>
      <c r="D184" s="41" t="s">
        <v>353</v>
      </c>
      <c r="E184" s="2" t="s">
        <v>354</v>
      </c>
      <c r="F184" s="9">
        <v>20.7</v>
      </c>
      <c r="G184" t="str">
        <f t="shared" si="12"/>
        <v>Blanca</v>
      </c>
      <c r="H184" t="e">
        <f>IF(G184="Rojas",VLOOKUP(F184,#REF!,3,TRUE),IF(G184="Azul",VLOOKUP(F184,#REF!,3,TRUE),VLOOKUP(F184,#REF!,3,TRUE)))</f>
        <v>#REF!</v>
      </c>
      <c r="I184" s="9">
        <f>IFERROR(VLOOKUP(C184,Palmares!#REF!,4,FALSE),0)</f>
        <v>0</v>
      </c>
    </row>
    <row r="185" spans="1:9" ht="15.6" x14ac:dyDescent="0.3">
      <c r="A185" s="37" t="s">
        <v>51</v>
      </c>
      <c r="C185" s="1">
        <v>30376</v>
      </c>
      <c r="D185" s="2" t="s">
        <v>52</v>
      </c>
      <c r="E185" s="2" t="s">
        <v>53</v>
      </c>
      <c r="F185" s="9">
        <v>25.8</v>
      </c>
      <c r="G185" t="s">
        <v>372</v>
      </c>
      <c r="H185" t="e">
        <f>IF(G185="Rojas",VLOOKUP(F185,#REF!,3,TRUE),IF(G185="Azul",VLOOKUP(F185,#REF!,3,TRUE),VLOOKUP(F185,#REF!,3,TRUE)))</f>
        <v>#REF!</v>
      </c>
      <c r="I185" s="9">
        <f>IFERROR(VLOOKUP(C185,Palmares!#REF!,4,FALSE),0)</f>
        <v>0</v>
      </c>
    </row>
    <row r="186" spans="1:9" ht="15.6" x14ac:dyDescent="0.3">
      <c r="A186" s="39" t="s">
        <v>9</v>
      </c>
      <c r="C186" s="38">
        <v>11399</v>
      </c>
      <c r="D186" s="2" t="s">
        <v>343</v>
      </c>
      <c r="E186" s="2" t="s">
        <v>344</v>
      </c>
      <c r="F186"/>
      <c r="G186" t="str">
        <f t="shared" ref="G186:G202" si="13">+IF(F186&lt;18.8,"Azul","Blanca")</f>
        <v>Azul</v>
      </c>
      <c r="H186" t="e">
        <f>IF(G186="Rojas",VLOOKUP(F186,#REF!,3,TRUE),IF(G186="Azul",VLOOKUP(F186,#REF!,3,TRUE),VLOOKUP(F186,#REF!,3,TRUE)))</f>
        <v>#REF!</v>
      </c>
      <c r="I186" s="9">
        <f>IFERROR(VLOOKUP(C186,Palmares!#REF!,4,FALSE),0)</f>
        <v>0</v>
      </c>
    </row>
    <row r="187" spans="1:9" ht="15.6" x14ac:dyDescent="0.3">
      <c r="A187" s="2" t="s">
        <v>9</v>
      </c>
      <c r="C187" s="3">
        <v>33221</v>
      </c>
      <c r="D187" s="2" t="s">
        <v>345</v>
      </c>
      <c r="E187" s="2" t="s">
        <v>346</v>
      </c>
      <c r="F187"/>
      <c r="G187" t="str">
        <f t="shared" si="13"/>
        <v>Azul</v>
      </c>
      <c r="H187" t="e">
        <f>IF(G187="Rojas",VLOOKUP(F187,#REF!,3,TRUE),IF(G187="Azul",VLOOKUP(F187,#REF!,3,TRUE),VLOOKUP(F187,#REF!,3,TRUE)))</f>
        <v>#REF!</v>
      </c>
      <c r="I187" s="9">
        <f>IFERROR(VLOOKUP(C187,Palmares!#REF!,4,FALSE),0)</f>
        <v>0</v>
      </c>
    </row>
    <row r="188" spans="1:9" ht="15.6" x14ac:dyDescent="0.3">
      <c r="A188" s="40" t="s">
        <v>9</v>
      </c>
      <c r="C188" s="1">
        <v>11679</v>
      </c>
      <c r="D188" s="2" t="s">
        <v>347</v>
      </c>
      <c r="E188" s="2" t="s">
        <v>348</v>
      </c>
      <c r="F188"/>
      <c r="G188" t="str">
        <f t="shared" si="13"/>
        <v>Azul</v>
      </c>
      <c r="H188" t="e">
        <f>IF(G188="Rojas",VLOOKUP(F188,#REF!,3,TRUE),IF(G188="Azul",VLOOKUP(F188,#REF!,3,TRUE),VLOOKUP(F188,#REF!,3,TRUE)))</f>
        <v>#REF!</v>
      </c>
      <c r="I188" s="9">
        <f>IFERROR(VLOOKUP(C188,Palmares!#REF!,4,FALSE),0)</f>
        <v>0</v>
      </c>
    </row>
    <row r="189" spans="1:9" ht="15.6" x14ac:dyDescent="0.3">
      <c r="A189" s="2" t="s">
        <v>9</v>
      </c>
      <c r="C189" s="1">
        <v>28917</v>
      </c>
      <c r="D189" s="2" t="s">
        <v>349</v>
      </c>
      <c r="E189" s="2" t="s">
        <v>83</v>
      </c>
      <c r="F189"/>
      <c r="G189" t="str">
        <f t="shared" si="13"/>
        <v>Azul</v>
      </c>
      <c r="H189" t="e">
        <f>IF(G189="Rojas",VLOOKUP(F189,#REF!,3,TRUE),IF(G189="Azul",VLOOKUP(F189,#REF!,3,TRUE),VLOOKUP(F189,#REF!,3,TRUE)))</f>
        <v>#REF!</v>
      </c>
      <c r="I189" s="9">
        <f>IFERROR(VLOOKUP(C189,Palmares!#REF!,4,FALSE),0)</f>
        <v>0</v>
      </c>
    </row>
    <row r="190" spans="1:9" ht="15.6" x14ac:dyDescent="0.3">
      <c r="A190" s="36" t="s">
        <v>9</v>
      </c>
      <c r="C190" s="38">
        <v>28920</v>
      </c>
      <c r="D190" s="2" t="s">
        <v>349</v>
      </c>
      <c r="E190" s="2" t="s">
        <v>350</v>
      </c>
      <c r="F190"/>
      <c r="G190" t="str">
        <f t="shared" si="13"/>
        <v>Azul</v>
      </c>
      <c r="H190" t="e">
        <f>IF(G190="Rojas",VLOOKUP(F190,#REF!,3,TRUE),IF(G190="Azul",VLOOKUP(F190,#REF!,3,TRUE),VLOOKUP(F190,#REF!,3,TRUE)))</f>
        <v>#REF!</v>
      </c>
      <c r="I190" s="9">
        <f>IFERROR(VLOOKUP(C190,Palmares!#REF!,4,FALSE),0)</f>
        <v>0</v>
      </c>
    </row>
    <row r="191" spans="1:9" ht="15.6" x14ac:dyDescent="0.3">
      <c r="A191" s="37" t="s">
        <v>17</v>
      </c>
      <c r="B191">
        <v>7</v>
      </c>
      <c r="C191" s="1">
        <v>14824</v>
      </c>
      <c r="D191" s="41" t="s">
        <v>364</v>
      </c>
      <c r="E191" s="2" t="s">
        <v>365</v>
      </c>
      <c r="F191" s="9">
        <v>22.5</v>
      </c>
      <c r="G191" t="str">
        <f t="shared" si="13"/>
        <v>Blanca</v>
      </c>
      <c r="H191" t="e">
        <f>IF(G191="Rojas",VLOOKUP(F191,#REF!,3,TRUE),IF(G191="Azul",VLOOKUP(F191,#REF!,3,TRUE),VLOOKUP(F191,#REF!,3,TRUE)))</f>
        <v>#REF!</v>
      </c>
      <c r="I191" s="9">
        <f>IFERROR(VLOOKUP(C191,Palmares!#REF!,4,FALSE),0)</f>
        <v>0</v>
      </c>
    </row>
    <row r="192" spans="1:9" ht="15.6" x14ac:dyDescent="0.3">
      <c r="A192" s="37" t="s">
        <v>17</v>
      </c>
      <c r="C192" s="1">
        <v>30101</v>
      </c>
      <c r="D192" s="2" t="s">
        <v>341</v>
      </c>
      <c r="E192" s="2" t="s">
        <v>342</v>
      </c>
      <c r="F192" s="9">
        <v>13.1</v>
      </c>
      <c r="G192" t="str">
        <f t="shared" si="13"/>
        <v>Azul</v>
      </c>
      <c r="H192" t="e">
        <f>IF(G192="Rojas",VLOOKUP(F192,#REF!,3,TRUE),IF(G192="Azul",VLOOKUP(F192,#REF!,3,TRUE),VLOOKUP(F192,#REF!,3,TRUE)))</f>
        <v>#REF!</v>
      </c>
      <c r="I192" s="9">
        <f>IFERROR(VLOOKUP(C192,Palmares!#REF!,4,FALSE),0)</f>
        <v>0</v>
      </c>
    </row>
    <row r="193" spans="1:9" ht="15.6" x14ac:dyDescent="0.3">
      <c r="A193" s="37" t="s">
        <v>9</v>
      </c>
      <c r="C193" s="1">
        <v>27116</v>
      </c>
      <c r="D193" s="2" t="s">
        <v>355</v>
      </c>
      <c r="E193" s="2" t="s">
        <v>356</v>
      </c>
      <c r="F193"/>
      <c r="G193" t="str">
        <f t="shared" si="13"/>
        <v>Azul</v>
      </c>
      <c r="H193" t="e">
        <f>IF(G193="Rojas",VLOOKUP(F193,#REF!,3,TRUE),IF(G193="Azul",VLOOKUP(F193,#REF!,3,TRUE),VLOOKUP(F193,#REF!,3,TRUE)))</f>
        <v>#REF!</v>
      </c>
      <c r="I193" s="9">
        <f>IFERROR(VLOOKUP(C193,Palmares!#REF!,4,FALSE),0)</f>
        <v>0</v>
      </c>
    </row>
    <row r="194" spans="1:9" ht="15.6" x14ac:dyDescent="0.3">
      <c r="A194" s="37" t="s">
        <v>9</v>
      </c>
      <c r="C194" s="1">
        <v>11980</v>
      </c>
      <c r="D194" s="2" t="s">
        <v>357</v>
      </c>
      <c r="E194" s="2" t="s">
        <v>358</v>
      </c>
      <c r="F194"/>
      <c r="G194" t="str">
        <f t="shared" si="13"/>
        <v>Azul</v>
      </c>
      <c r="H194" t="e">
        <f>IF(G194="Rojas",VLOOKUP(F194,#REF!,3,TRUE),IF(G194="Azul",VLOOKUP(F194,#REF!,3,TRUE),VLOOKUP(F194,#REF!,3,TRUE)))</f>
        <v>#REF!</v>
      </c>
      <c r="I194" s="9">
        <f>IFERROR(VLOOKUP(C194,Palmares!#REF!,4,FALSE),0)</f>
        <v>0</v>
      </c>
    </row>
    <row r="195" spans="1:9" ht="15.6" x14ac:dyDescent="0.3">
      <c r="A195" s="39" t="s">
        <v>9</v>
      </c>
      <c r="C195" s="1">
        <v>27232</v>
      </c>
      <c r="D195" s="2" t="s">
        <v>359</v>
      </c>
      <c r="E195" s="2" t="s">
        <v>360</v>
      </c>
      <c r="F195"/>
      <c r="G195" t="str">
        <f t="shared" si="13"/>
        <v>Azul</v>
      </c>
      <c r="H195" t="e">
        <f>IF(G195="Rojas",VLOOKUP(F195,#REF!,3,TRUE),IF(G195="Azul",VLOOKUP(F195,#REF!,3,TRUE),VLOOKUP(F195,#REF!,3,TRUE)))</f>
        <v>#REF!</v>
      </c>
      <c r="I195" s="9">
        <f>IFERROR(VLOOKUP(C195,Palmares!#REF!,4,FALSE),0)</f>
        <v>0</v>
      </c>
    </row>
    <row r="196" spans="1:9" ht="15.6" x14ac:dyDescent="0.3">
      <c r="A196" s="2" t="s">
        <v>9</v>
      </c>
      <c r="C196" s="1">
        <v>19928</v>
      </c>
      <c r="D196" s="2" t="s">
        <v>361</v>
      </c>
      <c r="E196" s="2" t="s">
        <v>362</v>
      </c>
      <c r="F196"/>
      <c r="G196" t="str">
        <f t="shared" si="13"/>
        <v>Azul</v>
      </c>
      <c r="H196" t="e">
        <f>IF(G196="Rojas",VLOOKUP(F196,#REF!,3,TRUE),IF(G196="Azul",VLOOKUP(F196,#REF!,3,TRUE),VLOOKUP(F196,#REF!,3,TRUE)))</f>
        <v>#REF!</v>
      </c>
      <c r="I196" s="9">
        <f>IFERROR(VLOOKUP(C196,Palmares!#REF!,4,FALSE),0)</f>
        <v>0</v>
      </c>
    </row>
    <row r="197" spans="1:9" ht="15.6" x14ac:dyDescent="0.3">
      <c r="A197" s="36" t="s">
        <v>17</v>
      </c>
      <c r="B197">
        <v>7</v>
      </c>
      <c r="C197" s="1">
        <v>31833</v>
      </c>
      <c r="D197" s="41" t="s">
        <v>140</v>
      </c>
      <c r="E197" s="2" t="s">
        <v>40</v>
      </c>
      <c r="F197" s="9">
        <v>24.4</v>
      </c>
      <c r="G197" t="str">
        <f t="shared" si="13"/>
        <v>Blanca</v>
      </c>
      <c r="H197" t="e">
        <f>IF(G197="Rojas",VLOOKUP(F197,#REF!,3,TRUE),IF(G197="Azul",VLOOKUP(F197,#REF!,3,TRUE),VLOOKUP(F197,#REF!,3,TRUE)))</f>
        <v>#REF!</v>
      </c>
      <c r="I197" s="9">
        <f>IFERROR(VLOOKUP(C197,Palmares!#REF!,4,FALSE),0)</f>
        <v>0</v>
      </c>
    </row>
    <row r="198" spans="1:9" ht="15.6" x14ac:dyDescent="0.3">
      <c r="A198" s="39" t="s">
        <v>17</v>
      </c>
      <c r="B198">
        <v>7</v>
      </c>
      <c r="C198" s="1">
        <v>20941</v>
      </c>
      <c r="D198" s="41" t="s">
        <v>319</v>
      </c>
      <c r="E198" s="2" t="s">
        <v>320</v>
      </c>
      <c r="F198" s="9">
        <v>25.2</v>
      </c>
      <c r="G198" t="str">
        <f t="shared" si="13"/>
        <v>Blanca</v>
      </c>
      <c r="H198" t="e">
        <f>IF(G198="Rojas",VLOOKUP(F198,#REF!,3,TRUE),IF(G198="Azul",VLOOKUP(F198,#REF!,3,TRUE),VLOOKUP(F198,#REF!,3,TRUE)))</f>
        <v>#REF!</v>
      </c>
      <c r="I198" s="9">
        <f>IFERROR(VLOOKUP(C198,Palmares!#REF!,4,FALSE),0)</f>
        <v>0</v>
      </c>
    </row>
    <row r="199" spans="1:9" ht="15.6" x14ac:dyDescent="0.3">
      <c r="A199" s="2" t="s">
        <v>17</v>
      </c>
      <c r="B199">
        <v>8</v>
      </c>
      <c r="C199" s="1"/>
      <c r="D199" s="41" t="s">
        <v>368</v>
      </c>
      <c r="E199" s="2" t="s">
        <v>458</v>
      </c>
      <c r="G199" t="str">
        <f t="shared" si="13"/>
        <v>Azul</v>
      </c>
      <c r="H199" t="e">
        <f>IF(G199="Rojas",VLOOKUP(F199,#REF!,3,TRUE),IF(G199="Azul",VLOOKUP(F199,#REF!,3,TRUE),VLOOKUP(F199,#REF!,3,TRUE)))</f>
        <v>#REF!</v>
      </c>
      <c r="I199" s="9">
        <f>IFERROR(VLOOKUP(C199,Palmares!#REF!,4,FALSE),0)</f>
        <v>0</v>
      </c>
    </row>
    <row r="200" spans="1:9" ht="15.6" x14ac:dyDescent="0.3">
      <c r="A200" s="2" t="s">
        <v>9</v>
      </c>
      <c r="B200">
        <v>8</v>
      </c>
      <c r="C200" s="1"/>
      <c r="D200" s="41" t="s">
        <v>109</v>
      </c>
      <c r="E200" s="2" t="s">
        <v>215</v>
      </c>
      <c r="F200"/>
      <c r="G200" t="str">
        <f t="shared" si="13"/>
        <v>Azul</v>
      </c>
      <c r="H200" t="e">
        <f>IF(G200="Rojas",VLOOKUP(F200,#REF!,3,TRUE),IF(G200="Azul",VLOOKUP(F200,#REF!,3,TRUE),VLOOKUP(F200,#REF!,3,TRUE)))</f>
        <v>#REF!</v>
      </c>
      <c r="I200" s="9">
        <f>IFERROR(VLOOKUP(C200,Palmares!#REF!,4,FALSE),0)</f>
        <v>0</v>
      </c>
    </row>
    <row r="201" spans="1:9" ht="15.6" x14ac:dyDescent="0.3">
      <c r="A201" s="2" t="s">
        <v>9</v>
      </c>
      <c r="B201">
        <v>8</v>
      </c>
      <c r="C201" s="1">
        <v>2365</v>
      </c>
      <c r="D201" s="2" t="s">
        <v>105</v>
      </c>
      <c r="E201" s="2" t="s">
        <v>106</v>
      </c>
      <c r="F201"/>
      <c r="G201" t="str">
        <f t="shared" si="13"/>
        <v>Azul</v>
      </c>
      <c r="H201" t="e">
        <f>IF(G201="Rojas",VLOOKUP(F201,#REF!,3,TRUE),IF(G201="Azul",VLOOKUP(F201,#REF!,3,TRUE),VLOOKUP(F201,#REF!,3,TRUE)))</f>
        <v>#REF!</v>
      </c>
      <c r="I201" s="9">
        <f>IFERROR(VLOOKUP(C201,Palmares!#REF!,4,FALSE),0)</f>
        <v>0</v>
      </c>
    </row>
    <row r="202" spans="1:9" ht="15.6" x14ac:dyDescent="0.3">
      <c r="A202" s="2" t="s">
        <v>17</v>
      </c>
      <c r="B202">
        <v>8</v>
      </c>
      <c r="C202" s="1">
        <v>12531</v>
      </c>
      <c r="D202" s="41" t="s">
        <v>366</v>
      </c>
      <c r="E202" s="2" t="s">
        <v>367</v>
      </c>
      <c r="F202" s="9">
        <v>2.2000000000000002</v>
      </c>
      <c r="G202" t="str">
        <f t="shared" si="13"/>
        <v>Azul</v>
      </c>
      <c r="H202" t="e">
        <f>IF(G202="Rojas",VLOOKUP(F202,#REF!,3,TRUE),IF(G202="Azul",VLOOKUP(F202,#REF!,3,TRUE),VLOOKUP(F202,#REF!,3,TRUE)))</f>
        <v>#REF!</v>
      </c>
      <c r="I202" s="9">
        <f>IFERROR(VLOOKUP(C202,Palmares!#REF!,4,FALSE),0)</f>
        <v>0</v>
      </c>
    </row>
    <row r="203" spans="1:9" ht="15.6" x14ac:dyDescent="0.3">
      <c r="E203" s="2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26326-ABA7-4D16-97E1-A5DD896ED14D}">
  <sheetPr codeName="Hoja2"/>
  <dimension ref="A1:I201"/>
  <sheetViews>
    <sheetView tabSelected="1" zoomScale="142" workbookViewId="0">
      <selection activeCell="H6" sqref="H6"/>
    </sheetView>
  </sheetViews>
  <sheetFormatPr baseColWidth="10" defaultColWidth="11.44140625" defaultRowHeight="14.4" outlineLevelCol="1" x14ac:dyDescent="0.3"/>
  <cols>
    <col min="1" max="1" width="7.44140625" bestFit="1" customWidth="1"/>
    <col min="2" max="2" width="19.21875" bestFit="1" customWidth="1"/>
    <col min="3" max="3" width="19.44140625" bestFit="1" customWidth="1"/>
    <col min="4" max="4" width="18.6640625" bestFit="1" customWidth="1"/>
    <col min="5" max="5" width="16.44140625" bestFit="1" customWidth="1"/>
    <col min="6" max="6" width="16.21875" style="9" bestFit="1" customWidth="1" outlineLevel="1"/>
    <col min="7" max="7" width="5.77734375" bestFit="1" customWidth="1" outlineLevel="1"/>
    <col min="8" max="8" width="13" bestFit="1" customWidth="1" outlineLevel="1"/>
    <col min="9" max="9" width="6.88671875" style="9" bestFit="1" customWidth="1"/>
    <col min="10" max="10" width="5.109375" bestFit="1" customWidth="1"/>
    <col min="11" max="11" width="8.5546875" bestFit="1" customWidth="1"/>
    <col min="12" max="12" width="6.6640625" bestFit="1" customWidth="1"/>
    <col min="13" max="13" width="6.88671875" bestFit="1" customWidth="1"/>
    <col min="14" max="14" width="9.21875" bestFit="1" customWidth="1"/>
    <col min="15" max="15" width="10.21875" bestFit="1" customWidth="1"/>
    <col min="16" max="16" width="8.109375" bestFit="1" customWidth="1"/>
    <col min="17" max="17" width="16.6640625" bestFit="1" customWidth="1"/>
    <col min="18" max="18" width="14.5546875" bestFit="1" customWidth="1"/>
    <col min="19" max="19" width="14.44140625" bestFit="1" customWidth="1"/>
  </cols>
  <sheetData>
    <row r="1" spans="1:9" ht="15.6" x14ac:dyDescent="0.3">
      <c r="A1" s="106"/>
      <c r="B1" s="75"/>
      <c r="E1" s="1"/>
      <c r="F1" s="84"/>
      <c r="G1" s="42"/>
      <c r="H1" s="6"/>
      <c r="I1" s="6"/>
    </row>
    <row r="2" spans="1:9" ht="15.6" x14ac:dyDescent="0.3">
      <c r="A2" s="107"/>
      <c r="B2" s="75"/>
      <c r="C2" s="1" t="s">
        <v>486</v>
      </c>
      <c r="D2" s="74">
        <v>46235</v>
      </c>
      <c r="E2" s="1"/>
      <c r="F2" s="84"/>
      <c r="G2" s="42"/>
    </row>
    <row r="3" spans="1:9" ht="15.6" x14ac:dyDescent="0.3">
      <c r="A3" s="87"/>
      <c r="B3" s="75"/>
      <c r="C3" s="1"/>
      <c r="D3" s="78"/>
      <c r="E3" s="1"/>
      <c r="F3" s="83"/>
      <c r="G3" s="42"/>
    </row>
    <row r="4" spans="1:9" ht="15.6" x14ac:dyDescent="0.3">
      <c r="A4" s="112"/>
      <c r="B4" s="75"/>
      <c r="C4" s="1"/>
      <c r="D4" s="78"/>
      <c r="E4" s="1"/>
      <c r="F4" s="83"/>
      <c r="G4" s="42"/>
    </row>
    <row r="5" spans="1:9" ht="15.6" x14ac:dyDescent="0.3">
      <c r="A5" s="106"/>
      <c r="B5" s="75"/>
      <c r="C5" s="1"/>
      <c r="D5" s="78"/>
      <c r="E5" s="1"/>
      <c r="F5" s="83"/>
      <c r="G5" s="42"/>
    </row>
    <row r="6" spans="1:9" ht="15.6" x14ac:dyDescent="0.3">
      <c r="A6" s="108" t="s">
        <v>2</v>
      </c>
      <c r="B6" s="110" t="s">
        <v>3</v>
      </c>
      <c r="C6" s="108" t="s">
        <v>4</v>
      </c>
      <c r="D6" s="108" t="s">
        <v>481</v>
      </c>
      <c r="E6" s="108" t="s">
        <v>482</v>
      </c>
      <c r="F6" s="111" t="s">
        <v>483</v>
      </c>
      <c r="G6" s="42"/>
    </row>
    <row r="7" spans="1:9" ht="15.6" x14ac:dyDescent="0.3">
      <c r="A7" s="47" t="s">
        <v>528</v>
      </c>
      <c r="B7" s="47" t="s">
        <v>287</v>
      </c>
      <c r="C7" s="47" t="s">
        <v>288</v>
      </c>
      <c r="D7" s="78">
        <v>27</v>
      </c>
      <c r="E7" s="1" t="s">
        <v>485</v>
      </c>
      <c r="F7" s="83" t="s">
        <v>502</v>
      </c>
      <c r="G7" s="42"/>
    </row>
    <row r="8" spans="1:9" ht="15.6" x14ac:dyDescent="0.3">
      <c r="A8" s="57" t="s">
        <v>529</v>
      </c>
      <c r="B8" s="48" t="s">
        <v>153</v>
      </c>
      <c r="C8" s="48" t="s">
        <v>154</v>
      </c>
      <c r="D8" s="78" t="s">
        <v>530</v>
      </c>
      <c r="E8" s="1" t="s">
        <v>484</v>
      </c>
      <c r="F8" s="83" t="s">
        <v>493</v>
      </c>
      <c r="G8" s="42"/>
    </row>
    <row r="9" spans="1:9" ht="15.6" x14ac:dyDescent="0.3">
      <c r="A9" s="57" t="s">
        <v>531</v>
      </c>
      <c r="B9" s="48" t="s">
        <v>149</v>
      </c>
      <c r="C9" s="48" t="s">
        <v>150</v>
      </c>
      <c r="D9" s="78" t="s">
        <v>532</v>
      </c>
      <c r="E9" s="1" t="s">
        <v>484</v>
      </c>
      <c r="F9" s="83" t="s">
        <v>518</v>
      </c>
      <c r="G9" s="42"/>
    </row>
    <row r="10" spans="1:9" ht="15.6" x14ac:dyDescent="0.3">
      <c r="A10" s="57" t="s">
        <v>514</v>
      </c>
      <c r="B10" s="48" t="s">
        <v>225</v>
      </c>
      <c r="C10" s="48" t="s">
        <v>226</v>
      </c>
      <c r="D10" s="78" t="s">
        <v>533</v>
      </c>
      <c r="E10" s="1" t="s">
        <v>485</v>
      </c>
      <c r="F10" s="83" t="s">
        <v>493</v>
      </c>
      <c r="G10" s="42"/>
    </row>
    <row r="11" spans="1:9" ht="15.6" x14ac:dyDescent="0.3">
      <c r="A11" s="61" t="s">
        <v>496</v>
      </c>
      <c r="B11" s="53" t="s">
        <v>107</v>
      </c>
      <c r="C11" s="53" t="s">
        <v>108</v>
      </c>
      <c r="D11" s="78" t="s">
        <v>534</v>
      </c>
      <c r="E11" s="1" t="s">
        <v>485</v>
      </c>
      <c r="F11" s="83">
        <v>16</v>
      </c>
      <c r="G11" s="42"/>
    </row>
    <row r="12" spans="1:9" ht="15.6" x14ac:dyDescent="0.3">
      <c r="A12" s="57" t="s">
        <v>499</v>
      </c>
      <c r="B12" s="48" t="s">
        <v>220</v>
      </c>
      <c r="C12" s="48" t="s">
        <v>221</v>
      </c>
      <c r="D12" s="78" t="s">
        <v>535</v>
      </c>
      <c r="E12" s="1" t="s">
        <v>485</v>
      </c>
      <c r="F12" s="83" t="s">
        <v>488</v>
      </c>
      <c r="G12" s="42"/>
    </row>
    <row r="13" spans="1:9" ht="15.6" x14ac:dyDescent="0.3">
      <c r="A13" s="57" t="s">
        <v>536</v>
      </c>
      <c r="B13" s="48" t="s">
        <v>191</v>
      </c>
      <c r="C13" s="48" t="s">
        <v>106</v>
      </c>
      <c r="D13" s="118" t="s">
        <v>537</v>
      </c>
      <c r="E13" s="1" t="s">
        <v>485</v>
      </c>
      <c r="F13" s="119">
        <v>15</v>
      </c>
      <c r="G13" s="42"/>
    </row>
    <row r="14" spans="1:9" ht="15.6" x14ac:dyDescent="0.3">
      <c r="A14" s="60" t="s">
        <v>524</v>
      </c>
      <c r="B14" s="53" t="s">
        <v>190</v>
      </c>
      <c r="C14" s="53" t="s">
        <v>88</v>
      </c>
      <c r="D14" s="120" t="s">
        <v>538</v>
      </c>
      <c r="E14" s="120" t="s">
        <v>484</v>
      </c>
      <c r="F14" s="121" t="s">
        <v>509</v>
      </c>
      <c r="G14" s="6"/>
    </row>
    <row r="15" spans="1:9" ht="15.6" x14ac:dyDescent="0.3">
      <c r="A15" s="57" t="s">
        <v>511</v>
      </c>
      <c r="B15" s="48" t="s">
        <v>120</v>
      </c>
      <c r="C15" s="48" t="s">
        <v>121</v>
      </c>
      <c r="D15" s="75" t="s">
        <v>512</v>
      </c>
      <c r="E15" s="1" t="s">
        <v>484</v>
      </c>
      <c r="F15" s="75" t="s">
        <v>513</v>
      </c>
    </row>
    <row r="16" spans="1:9" ht="15.6" x14ac:dyDescent="0.3">
      <c r="A16" s="57" t="s">
        <v>507</v>
      </c>
      <c r="B16" s="48" t="s">
        <v>222</v>
      </c>
      <c r="C16" s="48" t="s">
        <v>223</v>
      </c>
      <c r="D16" s="1" t="s">
        <v>525</v>
      </c>
      <c r="E16" s="1" t="s">
        <v>484</v>
      </c>
      <c r="F16" s="75" t="s">
        <v>509</v>
      </c>
    </row>
    <row r="17" spans="1:6" ht="15.6" x14ac:dyDescent="0.3">
      <c r="A17" s="57" t="s">
        <v>516</v>
      </c>
      <c r="B17" s="48" t="s">
        <v>460</v>
      </c>
      <c r="C17" s="48" t="s">
        <v>246</v>
      </c>
      <c r="D17" s="1" t="s">
        <v>508</v>
      </c>
      <c r="E17" s="1" t="s">
        <v>484</v>
      </c>
      <c r="F17" s="75" t="s">
        <v>509</v>
      </c>
    </row>
    <row r="18" spans="1:6" ht="15.6" x14ac:dyDescent="0.3">
      <c r="A18" s="57" t="s">
        <v>489</v>
      </c>
      <c r="B18" s="48" t="s">
        <v>222</v>
      </c>
      <c r="C18" s="48" t="s">
        <v>233</v>
      </c>
      <c r="D18" s="1" t="s">
        <v>491</v>
      </c>
      <c r="E18" s="1" t="s">
        <v>484</v>
      </c>
      <c r="F18" s="75" t="s">
        <v>539</v>
      </c>
    </row>
    <row r="19" spans="1:6" ht="15.6" x14ac:dyDescent="0.3">
      <c r="A19" s="57" t="s">
        <v>503</v>
      </c>
      <c r="B19" s="48" t="s">
        <v>272</v>
      </c>
      <c r="C19" s="48" t="s">
        <v>273</v>
      </c>
      <c r="D19" s="75" t="s">
        <v>540</v>
      </c>
      <c r="E19" s="75" t="s">
        <v>484</v>
      </c>
      <c r="F19" s="122" t="s">
        <v>498</v>
      </c>
    </row>
    <row r="20" spans="1:6" ht="15.6" x14ac:dyDescent="0.3">
      <c r="A20" s="57" t="s">
        <v>541</v>
      </c>
      <c r="B20" s="48" t="s">
        <v>270</v>
      </c>
      <c r="C20" s="48" t="s">
        <v>271</v>
      </c>
      <c r="D20" s="78" t="s">
        <v>542</v>
      </c>
      <c r="E20" s="1" t="s">
        <v>484</v>
      </c>
      <c r="F20" s="83" t="s">
        <v>493</v>
      </c>
    </row>
    <row r="21" spans="1:6" ht="15.6" x14ac:dyDescent="0.3">
      <c r="A21" s="57" t="s">
        <v>543</v>
      </c>
      <c r="B21" s="48" t="s">
        <v>28</v>
      </c>
      <c r="C21" s="48" t="s">
        <v>29</v>
      </c>
      <c r="D21" s="78" t="s">
        <v>544</v>
      </c>
      <c r="E21" s="1" t="s">
        <v>485</v>
      </c>
      <c r="F21" s="84" t="s">
        <v>526</v>
      </c>
    </row>
    <row r="22" spans="1:6" ht="15.6" x14ac:dyDescent="0.3">
      <c r="A22" s="127">
        <v>33318</v>
      </c>
      <c r="B22" s="47" t="s">
        <v>545</v>
      </c>
      <c r="C22" s="128" t="s">
        <v>97</v>
      </c>
      <c r="D22" s="129">
        <v>8.1999999999999993</v>
      </c>
      <c r="E22" s="109" t="s">
        <v>484</v>
      </c>
      <c r="F22" s="129">
        <v>8</v>
      </c>
    </row>
    <row r="23" spans="1:6" ht="15.6" x14ac:dyDescent="0.3">
      <c r="A23" s="87"/>
      <c r="B23" s="3"/>
      <c r="C23" s="1"/>
      <c r="D23" s="78"/>
      <c r="E23" s="1"/>
      <c r="F23" s="85"/>
    </row>
    <row r="24" spans="1:6" ht="15.6" x14ac:dyDescent="0.3">
      <c r="A24" s="87"/>
      <c r="B24" s="3"/>
      <c r="C24" s="1"/>
      <c r="D24" s="78"/>
      <c r="E24" s="1"/>
      <c r="F24" s="86"/>
    </row>
    <row r="25" spans="1:6" ht="15.6" x14ac:dyDescent="0.3">
      <c r="A25" s="37"/>
      <c r="C25" s="1"/>
      <c r="D25" s="2"/>
      <c r="E25" s="2"/>
      <c r="F25"/>
    </row>
    <row r="26" spans="1:6" ht="15.6" x14ac:dyDescent="0.3">
      <c r="A26" s="37"/>
      <c r="C26" s="1"/>
      <c r="D26" s="2"/>
      <c r="E26" s="2"/>
      <c r="F26"/>
    </row>
    <row r="27" spans="1:6" ht="15.6" x14ac:dyDescent="0.3">
      <c r="A27" s="39"/>
      <c r="C27" s="1"/>
      <c r="D27" s="2"/>
      <c r="E27" s="2"/>
      <c r="F27"/>
    </row>
    <row r="28" spans="1:6" ht="15.6" x14ac:dyDescent="0.3">
      <c r="A28" s="2"/>
      <c r="C28" s="1"/>
      <c r="D28" s="2"/>
      <c r="E28" s="2"/>
    </row>
    <row r="29" spans="1:6" ht="15.6" x14ac:dyDescent="0.3">
      <c r="A29" s="36"/>
      <c r="C29" s="1"/>
      <c r="D29" s="2"/>
      <c r="E29" s="2"/>
      <c r="F29"/>
    </row>
    <row r="30" spans="1:6" ht="15.6" x14ac:dyDescent="0.3">
      <c r="A30" s="37"/>
      <c r="C30" s="1"/>
      <c r="D30" s="2"/>
      <c r="E30" s="2"/>
      <c r="F30"/>
    </row>
    <row r="31" spans="1:6" ht="15.6" x14ac:dyDescent="0.3">
      <c r="A31" s="37"/>
      <c r="C31" s="3"/>
      <c r="D31" s="2"/>
      <c r="E31" s="2"/>
    </row>
    <row r="32" spans="1:6" ht="15.6" x14ac:dyDescent="0.3">
      <c r="A32" s="37"/>
      <c r="C32" s="4"/>
      <c r="D32" s="5"/>
      <c r="E32" s="5"/>
      <c r="F32"/>
    </row>
    <row r="33" spans="1:6" ht="15.6" x14ac:dyDescent="0.3">
      <c r="A33" s="37"/>
      <c r="C33" s="1"/>
      <c r="D33" s="2"/>
      <c r="E33" s="2"/>
      <c r="F33"/>
    </row>
    <row r="34" spans="1:6" ht="15.6" x14ac:dyDescent="0.3">
      <c r="A34" s="37"/>
      <c r="C34" s="1"/>
      <c r="D34" s="2"/>
      <c r="E34" s="2"/>
      <c r="F34"/>
    </row>
    <row r="35" spans="1:6" ht="15.6" x14ac:dyDescent="0.3">
      <c r="A35" s="37"/>
      <c r="C35" s="1"/>
      <c r="D35" s="2"/>
      <c r="E35" s="2"/>
      <c r="F35"/>
    </row>
    <row r="36" spans="1:6" ht="15.6" x14ac:dyDescent="0.3">
      <c r="A36" s="37"/>
      <c r="C36" s="1"/>
      <c r="D36" s="2"/>
      <c r="E36" s="2"/>
      <c r="F36"/>
    </row>
    <row r="37" spans="1:6" ht="15.6" x14ac:dyDescent="0.3">
      <c r="A37" s="37"/>
      <c r="C37" s="1"/>
      <c r="D37" s="2"/>
      <c r="E37" s="2"/>
    </row>
    <row r="38" spans="1:6" ht="15.6" x14ac:dyDescent="0.3">
      <c r="A38" s="37"/>
      <c r="C38" s="1"/>
      <c r="D38" s="2"/>
      <c r="E38" s="2"/>
      <c r="F38"/>
    </row>
    <row r="39" spans="1:6" ht="15.6" x14ac:dyDescent="0.3">
      <c r="A39" s="37"/>
      <c r="C39" s="4"/>
      <c r="D39" s="5"/>
      <c r="E39" s="5"/>
      <c r="F39"/>
    </row>
    <row r="40" spans="1:6" ht="15.6" x14ac:dyDescent="0.3">
      <c r="A40" s="39"/>
      <c r="C40" s="1"/>
      <c r="D40" s="2"/>
      <c r="E40" s="2"/>
      <c r="F40" s="17"/>
    </row>
    <row r="41" spans="1:6" ht="15.6" x14ac:dyDescent="0.3">
      <c r="A41" s="2"/>
      <c r="C41" s="1"/>
      <c r="D41" s="2"/>
      <c r="E41" s="2"/>
      <c r="F41"/>
    </row>
    <row r="42" spans="1:6" ht="15.6" x14ac:dyDescent="0.3">
      <c r="A42" s="2"/>
      <c r="C42" s="1"/>
      <c r="D42" s="2"/>
      <c r="E42" s="2"/>
      <c r="F42"/>
    </row>
    <row r="43" spans="1:6" ht="15.6" x14ac:dyDescent="0.3">
      <c r="A43" s="36"/>
      <c r="C43" s="4"/>
      <c r="D43" s="5"/>
      <c r="E43" s="5"/>
      <c r="F43"/>
    </row>
    <row r="44" spans="1:6" ht="15.6" x14ac:dyDescent="0.3">
      <c r="A44" s="37"/>
      <c r="C44" s="38"/>
      <c r="D44" s="2"/>
      <c r="E44" s="2"/>
      <c r="F44"/>
    </row>
    <row r="45" spans="1:6" ht="15.6" x14ac:dyDescent="0.3">
      <c r="A45" s="39"/>
      <c r="C45" s="1"/>
      <c r="D45" s="2"/>
      <c r="E45" s="2"/>
      <c r="F45"/>
    </row>
    <row r="46" spans="1:6" ht="15.6" x14ac:dyDescent="0.3">
      <c r="A46" s="2"/>
      <c r="C46" s="3"/>
      <c r="D46" s="2"/>
      <c r="E46" s="2"/>
      <c r="F46"/>
    </row>
    <row r="47" spans="1:6" ht="15.6" x14ac:dyDescent="0.3">
      <c r="A47" s="36"/>
      <c r="C47" s="1"/>
      <c r="D47" s="2"/>
      <c r="E47" s="2"/>
      <c r="F47"/>
    </row>
    <row r="48" spans="1:6" ht="15.6" x14ac:dyDescent="0.3">
      <c r="A48" s="37"/>
      <c r="C48" s="1"/>
      <c r="D48" s="2"/>
      <c r="E48" s="2"/>
      <c r="F48"/>
    </row>
    <row r="49" spans="1:6" ht="15.6" x14ac:dyDescent="0.3">
      <c r="A49" s="37"/>
      <c r="C49" s="1"/>
      <c r="D49" s="2"/>
      <c r="E49" s="2"/>
      <c r="F49"/>
    </row>
    <row r="50" spans="1:6" ht="15.6" x14ac:dyDescent="0.3">
      <c r="A50" s="37"/>
      <c r="C50" s="1"/>
      <c r="D50" s="41"/>
      <c r="E50" s="2"/>
    </row>
    <row r="51" spans="1:6" ht="15.6" x14ac:dyDescent="0.3">
      <c r="A51" s="37"/>
      <c r="C51" s="1"/>
      <c r="D51" s="41"/>
      <c r="E51" s="2"/>
    </row>
    <row r="52" spans="1:6" ht="15.6" x14ac:dyDescent="0.3">
      <c r="A52" s="37"/>
      <c r="C52" s="1"/>
      <c r="D52" s="41"/>
      <c r="E52" s="2"/>
    </row>
    <row r="53" spans="1:6" ht="15.6" x14ac:dyDescent="0.3">
      <c r="A53" s="37"/>
      <c r="C53" s="38"/>
      <c r="D53" s="2"/>
      <c r="E53" s="2"/>
      <c r="F53"/>
    </row>
    <row r="54" spans="1:6" ht="15.6" x14ac:dyDescent="0.3">
      <c r="A54" s="37"/>
      <c r="C54" s="1"/>
      <c r="D54" s="2"/>
      <c r="E54" s="2"/>
      <c r="F54"/>
    </row>
    <row r="55" spans="1:6" ht="15.6" x14ac:dyDescent="0.3">
      <c r="A55" s="37"/>
      <c r="C55" s="1"/>
      <c r="D55" s="2"/>
      <c r="E55" s="2"/>
      <c r="F55"/>
    </row>
    <row r="56" spans="1:6" ht="15.6" x14ac:dyDescent="0.3">
      <c r="A56" s="37"/>
      <c r="C56" s="1"/>
      <c r="D56" s="2"/>
      <c r="E56" s="2"/>
      <c r="F56"/>
    </row>
    <row r="57" spans="1:6" ht="15.6" x14ac:dyDescent="0.3">
      <c r="A57" s="39"/>
      <c r="C57" s="1"/>
      <c r="D57" s="2"/>
      <c r="E57" s="2"/>
      <c r="F57"/>
    </row>
    <row r="58" spans="1:6" ht="15.6" x14ac:dyDescent="0.3">
      <c r="A58" s="2"/>
      <c r="C58" s="1"/>
      <c r="D58" s="41"/>
      <c r="E58" s="2"/>
    </row>
    <row r="59" spans="1:6" ht="15.6" x14ac:dyDescent="0.3">
      <c r="A59" s="36"/>
      <c r="C59" s="1"/>
      <c r="D59" s="41"/>
      <c r="E59" s="2"/>
    </row>
    <row r="60" spans="1:6" ht="15.6" x14ac:dyDescent="0.3">
      <c r="A60" s="37"/>
      <c r="C60" s="38"/>
      <c r="D60" s="2"/>
      <c r="E60" s="2"/>
      <c r="F60"/>
    </row>
    <row r="61" spans="1:6" ht="15.6" x14ac:dyDescent="0.3">
      <c r="A61" s="39"/>
      <c r="C61" s="38"/>
      <c r="D61" s="2"/>
      <c r="E61" s="2"/>
      <c r="F61"/>
    </row>
    <row r="62" spans="1:6" ht="15.6" x14ac:dyDescent="0.3">
      <c r="A62" s="2"/>
      <c r="C62" s="1"/>
      <c r="D62" s="2"/>
      <c r="E62" s="2"/>
      <c r="F62"/>
    </row>
    <row r="63" spans="1:6" ht="15.6" x14ac:dyDescent="0.3">
      <c r="A63" s="36"/>
      <c r="C63" s="4"/>
      <c r="D63" s="5"/>
      <c r="E63" s="5"/>
    </row>
    <row r="64" spans="1:6" ht="15.6" x14ac:dyDescent="0.3">
      <c r="A64" s="37"/>
      <c r="C64" s="1"/>
      <c r="D64" s="2"/>
      <c r="E64" s="2"/>
      <c r="F64"/>
    </row>
    <row r="65" spans="1:6" ht="15.6" x14ac:dyDescent="0.3">
      <c r="A65" s="37"/>
      <c r="C65" s="1"/>
      <c r="D65" s="2"/>
      <c r="E65" s="2"/>
      <c r="F65"/>
    </row>
    <row r="66" spans="1:6" ht="15.6" x14ac:dyDescent="0.3">
      <c r="A66" s="39"/>
      <c r="C66" s="1"/>
      <c r="D66" s="2"/>
      <c r="E66" s="2"/>
      <c r="F66"/>
    </row>
    <row r="67" spans="1:6" ht="15.6" x14ac:dyDescent="0.3">
      <c r="A67" s="2"/>
      <c r="C67" s="1"/>
      <c r="D67" s="2"/>
      <c r="E67" s="2"/>
    </row>
    <row r="68" spans="1:6" ht="15.6" x14ac:dyDescent="0.3">
      <c r="A68" s="2"/>
      <c r="C68" s="38"/>
      <c r="D68" s="2"/>
      <c r="E68" s="2"/>
      <c r="F68"/>
    </row>
    <row r="69" spans="1:6" ht="15.6" x14ac:dyDescent="0.3">
      <c r="A69" s="40"/>
      <c r="C69" s="1"/>
      <c r="D69" s="41"/>
      <c r="E69" s="2"/>
    </row>
    <row r="70" spans="1:6" ht="15.6" x14ac:dyDescent="0.3">
      <c r="A70" s="2"/>
      <c r="C70" s="1"/>
      <c r="D70" s="2"/>
      <c r="E70" s="2"/>
      <c r="F70"/>
    </row>
    <row r="71" spans="1:6" ht="15.6" x14ac:dyDescent="0.3">
      <c r="A71" s="36"/>
      <c r="C71" s="1"/>
      <c r="D71" s="2"/>
      <c r="E71" s="2"/>
      <c r="F71"/>
    </row>
    <row r="72" spans="1:6" ht="15.6" x14ac:dyDescent="0.3">
      <c r="A72" s="37"/>
      <c r="C72" s="1"/>
      <c r="D72" s="2"/>
      <c r="E72" s="2"/>
      <c r="F72"/>
    </row>
    <row r="73" spans="1:6" ht="15.6" x14ac:dyDescent="0.3">
      <c r="A73" s="37"/>
      <c r="C73" s="1"/>
      <c r="D73" s="2"/>
      <c r="E73" s="2"/>
      <c r="F73"/>
    </row>
    <row r="74" spans="1:6" ht="15.6" x14ac:dyDescent="0.3">
      <c r="A74" s="37"/>
      <c r="C74" s="1"/>
      <c r="D74" s="41"/>
      <c r="E74" s="2"/>
    </row>
    <row r="75" spans="1:6" ht="15.6" x14ac:dyDescent="0.3">
      <c r="A75" s="39"/>
      <c r="C75" s="1"/>
      <c r="D75" s="2"/>
      <c r="E75" s="2"/>
    </row>
    <row r="76" spans="1:6" ht="15.6" x14ac:dyDescent="0.3">
      <c r="A76" s="2"/>
      <c r="C76" s="1"/>
      <c r="D76" s="41"/>
      <c r="E76" s="2"/>
    </row>
    <row r="77" spans="1:6" ht="15.6" x14ac:dyDescent="0.3">
      <c r="A77" s="2"/>
      <c r="C77" s="1"/>
      <c r="D77" s="2"/>
      <c r="E77" s="2"/>
      <c r="F77"/>
    </row>
    <row r="78" spans="1:6" ht="15.6" x14ac:dyDescent="0.3">
      <c r="A78" s="36"/>
      <c r="C78" s="1"/>
      <c r="D78" s="2"/>
      <c r="E78" s="2"/>
    </row>
    <row r="79" spans="1:6" ht="15.6" x14ac:dyDescent="0.3">
      <c r="A79" s="39"/>
      <c r="C79" s="1"/>
      <c r="D79" s="2"/>
      <c r="E79" s="2"/>
      <c r="F79"/>
    </row>
    <row r="80" spans="1:6" ht="15.6" x14ac:dyDescent="0.3">
      <c r="A80" s="2"/>
      <c r="C80" s="1"/>
      <c r="D80" s="2"/>
      <c r="E80" s="2"/>
      <c r="F80"/>
    </row>
    <row r="81" spans="1:6" ht="15.6" x14ac:dyDescent="0.3">
      <c r="A81" s="36"/>
      <c r="C81" s="1"/>
      <c r="D81" s="2"/>
      <c r="E81" s="2"/>
      <c r="F81"/>
    </row>
    <row r="82" spans="1:6" ht="15.6" x14ac:dyDescent="0.3">
      <c r="A82" s="37"/>
      <c r="C82" s="1"/>
      <c r="D82" s="2"/>
      <c r="E82" s="2"/>
      <c r="F82"/>
    </row>
    <row r="83" spans="1:6" ht="15.6" x14ac:dyDescent="0.3">
      <c r="A83" s="39"/>
      <c r="C83" s="1"/>
      <c r="D83" s="41"/>
      <c r="E83" s="2"/>
    </row>
    <row r="84" spans="1:6" ht="15.6" x14ac:dyDescent="0.3">
      <c r="A84" s="2"/>
      <c r="C84" s="1"/>
      <c r="D84" s="2"/>
      <c r="E84" s="2"/>
      <c r="F84"/>
    </row>
    <row r="85" spans="1:6" ht="15.6" x14ac:dyDescent="0.3">
      <c r="A85" s="2"/>
      <c r="C85" s="1"/>
      <c r="D85" s="2"/>
      <c r="E85" s="2"/>
      <c r="F85"/>
    </row>
    <row r="86" spans="1:6" ht="15.6" x14ac:dyDescent="0.3">
      <c r="A86" s="36"/>
      <c r="C86" s="1"/>
      <c r="D86" s="2"/>
      <c r="E86" s="2"/>
      <c r="F86"/>
    </row>
    <row r="87" spans="1:6" ht="15.6" x14ac:dyDescent="0.3">
      <c r="A87" s="39"/>
      <c r="C87" s="1"/>
      <c r="D87" s="2"/>
      <c r="E87" s="2"/>
      <c r="F87"/>
    </row>
    <row r="88" spans="1:6" ht="15.6" x14ac:dyDescent="0.3">
      <c r="A88" s="2"/>
      <c r="C88" s="1"/>
      <c r="D88" s="2"/>
      <c r="E88" s="2"/>
      <c r="F88"/>
    </row>
    <row r="89" spans="1:6" ht="15.6" x14ac:dyDescent="0.3">
      <c r="A89" s="40"/>
      <c r="C89" s="1"/>
      <c r="D89" s="2"/>
      <c r="E89" s="2"/>
      <c r="F89"/>
    </row>
    <row r="90" spans="1:6" ht="15.6" x14ac:dyDescent="0.3">
      <c r="A90" s="2"/>
      <c r="C90" s="1"/>
      <c r="D90" s="2"/>
      <c r="E90" s="2"/>
      <c r="F90"/>
    </row>
    <row r="91" spans="1:6" ht="15.6" x14ac:dyDescent="0.3">
      <c r="A91" s="36"/>
      <c r="C91" s="3"/>
      <c r="D91" s="2"/>
      <c r="E91" s="2"/>
    </row>
    <row r="92" spans="1:6" ht="15.6" x14ac:dyDescent="0.3">
      <c r="A92" s="37"/>
      <c r="C92" s="1"/>
      <c r="D92" s="2"/>
      <c r="E92" s="2"/>
      <c r="F92"/>
    </row>
    <row r="93" spans="1:6" ht="15.6" x14ac:dyDescent="0.3">
      <c r="A93" s="39"/>
      <c r="C93" s="1"/>
      <c r="D93" s="2"/>
      <c r="E93" s="2"/>
      <c r="F93"/>
    </row>
    <row r="94" spans="1:6" ht="15.6" x14ac:dyDescent="0.3">
      <c r="A94" s="2"/>
      <c r="C94" s="1"/>
      <c r="D94" s="2"/>
      <c r="E94" s="2"/>
      <c r="F94"/>
    </row>
    <row r="95" spans="1:6" ht="15.6" x14ac:dyDescent="0.3">
      <c r="A95" s="36"/>
      <c r="C95" s="1"/>
      <c r="D95" s="2"/>
      <c r="E95" s="2"/>
      <c r="F95"/>
    </row>
    <row r="96" spans="1:6" ht="15.6" x14ac:dyDescent="0.3">
      <c r="A96" s="39"/>
      <c r="C96" s="1"/>
      <c r="D96" s="41"/>
      <c r="E96" s="2"/>
    </row>
    <row r="97" spans="1:6" ht="15.6" x14ac:dyDescent="0.3">
      <c r="A97" s="2"/>
      <c r="C97" s="3"/>
      <c r="D97" s="2"/>
      <c r="E97" s="2"/>
    </row>
    <row r="98" spans="1:6" ht="15.6" x14ac:dyDescent="0.3">
      <c r="A98" s="2"/>
      <c r="C98" s="1"/>
      <c r="D98" s="2"/>
      <c r="E98" s="2"/>
      <c r="F98"/>
    </row>
    <row r="99" spans="1:6" ht="15.6" x14ac:dyDescent="0.3">
      <c r="A99" s="40"/>
      <c r="C99" s="1"/>
      <c r="D99" s="41"/>
      <c r="E99" s="2"/>
    </row>
    <row r="100" spans="1:6" ht="15.6" x14ac:dyDescent="0.3">
      <c r="A100" s="2"/>
      <c r="C100" s="1"/>
      <c r="D100" s="41"/>
      <c r="E100" s="2"/>
    </row>
    <row r="101" spans="1:6" ht="15.6" x14ac:dyDescent="0.3">
      <c r="A101" s="40"/>
      <c r="C101" s="38"/>
      <c r="D101" s="2"/>
      <c r="E101" s="2"/>
      <c r="F101"/>
    </row>
    <row r="102" spans="1:6" ht="15.6" x14ac:dyDescent="0.3">
      <c r="A102" s="2"/>
      <c r="C102" s="1"/>
      <c r="D102" s="2"/>
      <c r="E102" s="2"/>
      <c r="F102"/>
    </row>
    <row r="103" spans="1:6" ht="15.6" x14ac:dyDescent="0.3">
      <c r="A103" s="2"/>
      <c r="C103" s="1"/>
      <c r="D103" s="2"/>
      <c r="E103" s="2"/>
      <c r="F103"/>
    </row>
    <row r="104" spans="1:6" ht="15.6" x14ac:dyDescent="0.3">
      <c r="A104" s="36"/>
      <c r="C104" s="1"/>
      <c r="D104" s="2"/>
      <c r="E104" s="2"/>
      <c r="F104"/>
    </row>
    <row r="105" spans="1:6" ht="15.6" x14ac:dyDescent="0.3">
      <c r="A105" s="37"/>
      <c r="C105" s="1"/>
      <c r="D105" s="2"/>
      <c r="E105" s="2"/>
      <c r="F105"/>
    </row>
    <row r="106" spans="1:6" ht="15.6" x14ac:dyDescent="0.3">
      <c r="A106" s="39"/>
      <c r="C106" s="1"/>
      <c r="D106" s="2"/>
      <c r="E106" s="2"/>
      <c r="F106"/>
    </row>
    <row r="107" spans="1:6" ht="15.6" x14ac:dyDescent="0.3">
      <c r="A107" s="2"/>
      <c r="C107" s="1"/>
      <c r="D107" s="2"/>
      <c r="E107" s="2"/>
      <c r="F107"/>
    </row>
    <row r="108" spans="1:6" ht="15.6" x14ac:dyDescent="0.3">
      <c r="A108" s="40"/>
      <c r="C108" s="3"/>
      <c r="D108" s="2"/>
      <c r="E108" s="2"/>
      <c r="F108"/>
    </row>
    <row r="109" spans="1:6" ht="15.6" x14ac:dyDescent="0.3">
      <c r="A109" s="2"/>
      <c r="C109" s="1"/>
      <c r="D109" s="2"/>
      <c r="E109" s="2"/>
      <c r="F109"/>
    </row>
    <row r="110" spans="1:6" ht="15.6" x14ac:dyDescent="0.3">
      <c r="A110" s="36"/>
      <c r="C110" s="1"/>
      <c r="D110" s="2"/>
      <c r="E110" s="2"/>
      <c r="F110"/>
    </row>
    <row r="111" spans="1:6" ht="15.6" x14ac:dyDescent="0.3">
      <c r="A111" s="37"/>
      <c r="C111" s="3"/>
      <c r="D111" s="2"/>
      <c r="E111" s="2"/>
      <c r="F111"/>
    </row>
    <row r="112" spans="1:6" ht="15.6" x14ac:dyDescent="0.3">
      <c r="A112" s="37"/>
      <c r="C112" s="4"/>
      <c r="D112" s="41"/>
      <c r="E112" s="2"/>
    </row>
    <row r="113" spans="1:6" ht="15.6" x14ac:dyDescent="0.3">
      <c r="A113" s="37"/>
      <c r="C113" s="1"/>
      <c r="D113" s="2"/>
      <c r="E113" s="2"/>
    </row>
    <row r="114" spans="1:6" ht="15.6" x14ac:dyDescent="0.3">
      <c r="A114" s="39"/>
      <c r="C114" s="3"/>
      <c r="D114" s="2"/>
      <c r="E114" s="2"/>
    </row>
    <row r="115" spans="1:6" ht="15.6" x14ac:dyDescent="0.3">
      <c r="A115" s="2"/>
      <c r="C115" s="1"/>
      <c r="D115" s="2"/>
      <c r="E115" s="2"/>
      <c r="F115"/>
    </row>
    <row r="116" spans="1:6" ht="15.6" x14ac:dyDescent="0.3">
      <c r="A116" s="2"/>
      <c r="C116" s="1"/>
      <c r="D116" s="2"/>
      <c r="E116" s="2"/>
      <c r="F116"/>
    </row>
    <row r="117" spans="1:6" ht="15.6" x14ac:dyDescent="0.3">
      <c r="A117" s="2"/>
      <c r="C117" s="1"/>
      <c r="D117" s="2"/>
      <c r="E117" s="2"/>
    </row>
    <row r="118" spans="1:6" ht="15.6" x14ac:dyDescent="0.3">
      <c r="A118" s="36"/>
      <c r="C118" s="1"/>
      <c r="D118" s="2"/>
      <c r="E118" s="2"/>
      <c r="F118"/>
    </row>
    <row r="119" spans="1:6" ht="15.6" x14ac:dyDescent="0.3">
      <c r="A119" s="37"/>
      <c r="C119" s="38"/>
      <c r="D119" s="2"/>
      <c r="E119" s="2"/>
      <c r="F119"/>
    </row>
    <row r="120" spans="1:6" ht="15.6" x14ac:dyDescent="0.3">
      <c r="A120" s="39"/>
      <c r="C120" s="1"/>
      <c r="D120" s="41"/>
      <c r="E120" s="2"/>
    </row>
    <row r="121" spans="1:6" ht="15.6" x14ac:dyDescent="0.3">
      <c r="A121" s="2"/>
      <c r="C121" s="1"/>
      <c r="D121" s="2"/>
      <c r="E121" s="2"/>
    </row>
    <row r="122" spans="1:6" ht="15.6" x14ac:dyDescent="0.3">
      <c r="A122" s="36"/>
      <c r="C122" s="1"/>
      <c r="D122" s="2"/>
      <c r="E122" s="2"/>
      <c r="F122"/>
    </row>
    <row r="123" spans="1:6" ht="15.6" x14ac:dyDescent="0.3">
      <c r="A123" s="37"/>
      <c r="C123" s="1"/>
      <c r="D123" s="2"/>
      <c r="E123" s="2"/>
    </row>
    <row r="124" spans="1:6" ht="15.6" x14ac:dyDescent="0.3">
      <c r="A124" s="39"/>
      <c r="C124" s="1"/>
      <c r="D124" s="2"/>
      <c r="E124" s="2"/>
      <c r="F124"/>
    </row>
    <row r="125" spans="1:6" ht="15.6" x14ac:dyDescent="0.3">
      <c r="A125" s="2"/>
      <c r="C125" s="1"/>
      <c r="D125" s="2"/>
      <c r="E125" s="2"/>
      <c r="F125"/>
    </row>
    <row r="126" spans="1:6" ht="15.6" x14ac:dyDescent="0.3">
      <c r="A126" s="2"/>
      <c r="C126" s="1"/>
      <c r="D126" s="2"/>
      <c r="E126" s="2"/>
    </row>
    <row r="127" spans="1:6" ht="15.6" x14ac:dyDescent="0.3">
      <c r="A127" s="36"/>
      <c r="C127" s="1"/>
      <c r="D127" s="2"/>
      <c r="E127" s="2"/>
      <c r="F127"/>
    </row>
    <row r="128" spans="1:6" ht="15.6" x14ac:dyDescent="0.3">
      <c r="A128" s="37"/>
      <c r="C128" s="3"/>
      <c r="D128" s="2"/>
      <c r="E128" s="2"/>
      <c r="F128"/>
    </row>
    <row r="129" spans="1:6" ht="15.6" x14ac:dyDescent="0.3">
      <c r="A129" s="37"/>
      <c r="C129" s="1"/>
      <c r="D129" s="2"/>
      <c r="E129" s="2"/>
      <c r="F129"/>
    </row>
    <row r="130" spans="1:6" ht="15.6" x14ac:dyDescent="0.3">
      <c r="A130" s="37"/>
      <c r="C130" s="1"/>
      <c r="D130" s="2"/>
      <c r="E130" s="2"/>
      <c r="F130"/>
    </row>
    <row r="131" spans="1:6" ht="15.6" x14ac:dyDescent="0.3">
      <c r="A131" s="37"/>
      <c r="C131" s="1"/>
      <c r="D131" s="41"/>
      <c r="E131" s="2"/>
    </row>
    <row r="132" spans="1:6" ht="15.6" x14ac:dyDescent="0.3">
      <c r="A132" s="39"/>
      <c r="C132" s="38"/>
      <c r="D132" s="2"/>
      <c r="E132" s="2"/>
      <c r="F132"/>
    </row>
    <row r="133" spans="1:6" ht="15.6" x14ac:dyDescent="0.3">
      <c r="A133" s="2"/>
      <c r="C133" s="1"/>
      <c r="D133" s="2"/>
      <c r="E133" s="2"/>
      <c r="F133"/>
    </row>
    <row r="134" spans="1:6" ht="15.6" x14ac:dyDescent="0.3">
      <c r="A134" s="2"/>
      <c r="C134" s="4"/>
      <c r="D134" s="5"/>
      <c r="E134" s="5"/>
    </row>
    <row r="135" spans="1:6" ht="15.6" x14ac:dyDescent="0.3">
      <c r="A135" s="36"/>
      <c r="C135" s="1"/>
      <c r="D135" s="2"/>
      <c r="E135" s="2"/>
      <c r="F135"/>
    </row>
    <row r="136" spans="1:6" ht="15.6" x14ac:dyDescent="0.3">
      <c r="A136" s="39"/>
      <c r="C136" s="1"/>
      <c r="D136" s="41"/>
      <c r="E136" s="2"/>
    </row>
    <row r="137" spans="1:6" ht="15.6" x14ac:dyDescent="0.3">
      <c r="A137" s="2"/>
      <c r="C137" s="1"/>
      <c r="D137" s="2"/>
      <c r="E137" s="2"/>
      <c r="F137"/>
    </row>
    <row r="138" spans="1:6" ht="15.6" x14ac:dyDescent="0.3">
      <c r="A138" s="2"/>
      <c r="C138" s="1"/>
      <c r="D138" s="2"/>
      <c r="E138" s="2"/>
      <c r="F138"/>
    </row>
    <row r="139" spans="1:6" ht="15.6" x14ac:dyDescent="0.3">
      <c r="A139" s="36"/>
      <c r="C139" s="38"/>
      <c r="D139" s="2"/>
      <c r="E139" s="2"/>
      <c r="F139"/>
    </row>
    <row r="140" spans="1:6" ht="15.6" x14ac:dyDescent="0.3">
      <c r="A140" s="39"/>
      <c r="C140" s="1"/>
      <c r="D140" s="2"/>
      <c r="E140" s="2"/>
    </row>
    <row r="141" spans="1:6" ht="15.6" x14ac:dyDescent="0.3">
      <c r="A141" s="2"/>
      <c r="C141" s="1"/>
      <c r="D141" s="2"/>
      <c r="E141" s="2"/>
      <c r="F141"/>
    </row>
    <row r="142" spans="1:6" ht="15.6" x14ac:dyDescent="0.3">
      <c r="A142" s="36"/>
      <c r="C142" s="1"/>
      <c r="D142" s="2"/>
      <c r="E142" s="2"/>
      <c r="F142"/>
    </row>
    <row r="143" spans="1:6" ht="15.6" x14ac:dyDescent="0.3">
      <c r="A143" s="39"/>
      <c r="C143" s="1"/>
      <c r="D143" s="2"/>
      <c r="E143" s="2"/>
      <c r="F143"/>
    </row>
    <row r="144" spans="1:6" ht="15.6" x14ac:dyDescent="0.3">
      <c r="A144" s="2"/>
      <c r="C144" s="1"/>
      <c r="D144" s="2"/>
      <c r="E144" s="2"/>
    </row>
    <row r="145" spans="1:6" ht="15.6" x14ac:dyDescent="0.3">
      <c r="A145" s="36"/>
      <c r="C145" s="1"/>
      <c r="D145" s="2"/>
      <c r="E145" s="2"/>
    </row>
    <row r="146" spans="1:6" ht="15.6" x14ac:dyDescent="0.3">
      <c r="A146" s="37"/>
      <c r="C146" s="1"/>
      <c r="D146" s="2"/>
      <c r="E146" s="2"/>
    </row>
    <row r="147" spans="1:6" ht="15.6" x14ac:dyDescent="0.3">
      <c r="A147" s="37"/>
      <c r="C147" s="1"/>
      <c r="D147" s="2"/>
      <c r="E147" s="2"/>
    </row>
    <row r="148" spans="1:6" ht="15.6" x14ac:dyDescent="0.3">
      <c r="A148" s="37"/>
      <c r="C148" s="1"/>
      <c r="D148" s="2"/>
      <c r="E148" s="2"/>
      <c r="F148"/>
    </row>
    <row r="149" spans="1:6" ht="15.6" x14ac:dyDescent="0.3">
      <c r="A149" s="37"/>
      <c r="C149" s="1"/>
      <c r="D149" s="2"/>
      <c r="E149" s="2"/>
      <c r="F149"/>
    </row>
    <row r="150" spans="1:6" ht="15.6" x14ac:dyDescent="0.3">
      <c r="A150" s="39"/>
      <c r="C150" s="1"/>
      <c r="D150" s="2"/>
      <c r="E150" s="2"/>
      <c r="F150"/>
    </row>
    <row r="151" spans="1:6" ht="15.6" x14ac:dyDescent="0.3">
      <c r="A151" s="2"/>
      <c r="C151" s="1"/>
      <c r="D151" s="2"/>
      <c r="E151" s="2"/>
      <c r="F151"/>
    </row>
    <row r="152" spans="1:6" ht="15.6" x14ac:dyDescent="0.3">
      <c r="A152" s="36"/>
      <c r="C152" s="1"/>
      <c r="D152" s="2"/>
      <c r="E152" s="2"/>
    </row>
    <row r="153" spans="1:6" ht="15.6" x14ac:dyDescent="0.3">
      <c r="A153" s="39"/>
      <c r="C153" s="4"/>
      <c r="D153" s="41"/>
      <c r="E153" s="2"/>
    </row>
    <row r="154" spans="1:6" ht="15.6" x14ac:dyDescent="0.3">
      <c r="A154" s="2"/>
      <c r="C154" s="1"/>
      <c r="D154" s="41"/>
      <c r="E154" s="2"/>
    </row>
    <row r="155" spans="1:6" ht="15.6" x14ac:dyDescent="0.3">
      <c r="A155" s="40"/>
      <c r="C155" s="1"/>
      <c r="D155" s="2"/>
      <c r="E155" s="2"/>
      <c r="F155"/>
    </row>
    <row r="156" spans="1:6" ht="15.6" x14ac:dyDescent="0.3">
      <c r="A156" s="2"/>
      <c r="C156" s="1"/>
      <c r="D156" s="2"/>
      <c r="E156" s="2"/>
      <c r="F156"/>
    </row>
    <row r="157" spans="1:6" ht="15.6" x14ac:dyDescent="0.3">
      <c r="A157" s="36"/>
      <c r="C157" s="1"/>
      <c r="D157" s="2"/>
      <c r="E157" s="2"/>
      <c r="F157"/>
    </row>
    <row r="158" spans="1:6" ht="15.6" x14ac:dyDescent="0.3">
      <c r="A158" s="37"/>
      <c r="C158" s="1"/>
      <c r="D158" s="2"/>
      <c r="E158" s="2"/>
      <c r="F158"/>
    </row>
    <row r="159" spans="1:6" ht="15.6" x14ac:dyDescent="0.3">
      <c r="A159" s="39"/>
      <c r="C159" s="1"/>
      <c r="D159" s="2"/>
      <c r="E159" s="2"/>
      <c r="F159"/>
    </row>
    <row r="160" spans="1:6" ht="15.6" x14ac:dyDescent="0.3">
      <c r="A160" s="2"/>
      <c r="C160" s="1"/>
      <c r="D160" s="2"/>
      <c r="E160" s="2"/>
      <c r="F160"/>
    </row>
    <row r="161" spans="1:6" ht="15.6" x14ac:dyDescent="0.3">
      <c r="A161" s="36"/>
      <c r="C161" s="1"/>
      <c r="D161" s="2"/>
      <c r="E161" s="2"/>
    </row>
    <row r="162" spans="1:6" ht="15.6" x14ac:dyDescent="0.3">
      <c r="A162" s="37"/>
      <c r="C162" s="1"/>
      <c r="D162" s="2"/>
      <c r="E162" s="2"/>
    </row>
    <row r="163" spans="1:6" ht="15.6" x14ac:dyDescent="0.3">
      <c r="A163" s="37"/>
      <c r="C163" s="1"/>
      <c r="D163" s="2"/>
      <c r="E163" s="2"/>
      <c r="F163"/>
    </row>
    <row r="164" spans="1:6" ht="15.6" x14ac:dyDescent="0.3">
      <c r="A164" s="37"/>
      <c r="C164" s="1"/>
      <c r="D164" s="2"/>
      <c r="E164" s="2"/>
    </row>
    <row r="165" spans="1:6" ht="15.6" x14ac:dyDescent="0.3">
      <c r="A165" s="39"/>
      <c r="C165" s="1"/>
      <c r="D165" s="2"/>
      <c r="E165" s="2"/>
    </row>
    <row r="166" spans="1:6" ht="15.6" x14ac:dyDescent="0.3">
      <c r="A166" s="2"/>
      <c r="C166" s="1"/>
      <c r="D166" s="2"/>
      <c r="E166" s="2"/>
    </row>
    <row r="167" spans="1:6" ht="15.6" x14ac:dyDescent="0.3">
      <c r="A167" s="2"/>
      <c r="C167" s="1"/>
      <c r="D167" s="2"/>
      <c r="E167" s="2"/>
      <c r="F167"/>
    </row>
    <row r="168" spans="1:6" ht="15.6" x14ac:dyDescent="0.3">
      <c r="A168" s="36"/>
      <c r="C168" s="1"/>
      <c r="D168" s="2"/>
      <c r="E168" s="2"/>
      <c r="F168"/>
    </row>
    <row r="169" spans="1:6" ht="15.6" x14ac:dyDescent="0.3">
      <c r="A169" s="37"/>
      <c r="C169" s="38"/>
      <c r="D169" s="2"/>
      <c r="E169" s="2"/>
      <c r="F169"/>
    </row>
    <row r="170" spans="1:6" ht="15.6" x14ac:dyDescent="0.3">
      <c r="A170" s="39"/>
      <c r="C170" s="1"/>
      <c r="D170" s="2"/>
      <c r="E170" s="2"/>
    </row>
    <row r="171" spans="1:6" ht="15.6" x14ac:dyDescent="0.3">
      <c r="A171" s="2"/>
      <c r="C171" s="1"/>
      <c r="D171" s="2"/>
      <c r="E171" s="2"/>
      <c r="F171"/>
    </row>
    <row r="172" spans="1:6" ht="15.6" x14ac:dyDescent="0.3">
      <c r="A172" s="36"/>
      <c r="C172" s="1"/>
      <c r="D172" s="2"/>
      <c r="E172" s="2"/>
      <c r="F172"/>
    </row>
    <row r="173" spans="1:6" ht="15.6" x14ac:dyDescent="0.3">
      <c r="A173" s="37"/>
      <c r="C173" s="1"/>
      <c r="D173" s="2"/>
      <c r="E173" s="2"/>
      <c r="F173"/>
    </row>
    <row r="174" spans="1:6" ht="15.6" x14ac:dyDescent="0.3">
      <c r="A174" s="39"/>
      <c r="C174" s="3"/>
      <c r="D174" s="41"/>
      <c r="E174" s="2"/>
      <c r="F174"/>
    </row>
    <row r="175" spans="1:6" ht="15.6" x14ac:dyDescent="0.3">
      <c r="A175" s="2"/>
      <c r="C175" s="1"/>
      <c r="D175" s="41"/>
      <c r="E175" s="2"/>
    </row>
    <row r="176" spans="1:6" ht="15.6" x14ac:dyDescent="0.3">
      <c r="A176" s="36"/>
      <c r="C176" s="1"/>
      <c r="D176" s="2"/>
      <c r="E176" s="2"/>
      <c r="F176"/>
    </row>
    <row r="177" spans="1:6" ht="15.6" x14ac:dyDescent="0.3">
      <c r="A177" s="37"/>
      <c r="C177" s="1"/>
      <c r="D177" s="2"/>
      <c r="E177" s="2"/>
      <c r="F177"/>
    </row>
    <row r="178" spans="1:6" ht="15.6" x14ac:dyDescent="0.3">
      <c r="A178" s="37"/>
      <c r="C178" s="1"/>
      <c r="D178" s="2"/>
      <c r="E178" s="2"/>
      <c r="F178"/>
    </row>
    <row r="179" spans="1:6" ht="15.6" x14ac:dyDescent="0.3">
      <c r="A179" s="37"/>
      <c r="C179" s="1"/>
      <c r="D179" s="2"/>
      <c r="E179" s="2"/>
    </row>
    <row r="180" spans="1:6" ht="15.6" x14ac:dyDescent="0.3">
      <c r="A180" s="37"/>
      <c r="C180" s="1"/>
      <c r="D180" s="2"/>
      <c r="E180" s="2"/>
      <c r="F180"/>
    </row>
    <row r="181" spans="1:6" ht="15.6" x14ac:dyDescent="0.3">
      <c r="A181" s="37"/>
      <c r="C181" s="1"/>
      <c r="D181" s="2"/>
      <c r="E181" s="2"/>
      <c r="F181"/>
    </row>
    <row r="182" spans="1:6" ht="15.6" x14ac:dyDescent="0.3">
      <c r="A182" s="37"/>
      <c r="C182" s="1"/>
      <c r="D182" s="41"/>
      <c r="E182" s="2"/>
    </row>
    <row r="183" spans="1:6" ht="15.6" x14ac:dyDescent="0.3">
      <c r="A183" s="37"/>
      <c r="C183" s="1"/>
      <c r="D183" s="2"/>
      <c r="E183" s="2"/>
    </row>
    <row r="184" spans="1:6" ht="15.6" x14ac:dyDescent="0.3">
      <c r="A184" s="39"/>
      <c r="C184" s="38"/>
      <c r="D184" s="2"/>
      <c r="E184" s="2"/>
      <c r="F184"/>
    </row>
    <row r="185" spans="1:6" ht="15.6" x14ac:dyDescent="0.3">
      <c r="A185" s="2"/>
      <c r="C185" s="3"/>
      <c r="D185" s="2"/>
      <c r="E185" s="2"/>
      <c r="F185"/>
    </row>
    <row r="186" spans="1:6" ht="15.6" x14ac:dyDescent="0.3">
      <c r="A186" s="40"/>
      <c r="C186" s="1"/>
      <c r="D186" s="2"/>
      <c r="E186" s="2"/>
      <c r="F186"/>
    </row>
    <row r="187" spans="1:6" ht="15.6" x14ac:dyDescent="0.3">
      <c r="A187" s="2"/>
      <c r="C187" s="1"/>
      <c r="D187" s="2"/>
      <c r="E187" s="2"/>
      <c r="F187"/>
    </row>
    <row r="188" spans="1:6" ht="15.6" x14ac:dyDescent="0.3">
      <c r="A188" s="36"/>
      <c r="C188" s="38"/>
      <c r="D188" s="2"/>
      <c r="E188" s="2"/>
      <c r="F188"/>
    </row>
    <row r="189" spans="1:6" ht="15.6" x14ac:dyDescent="0.3">
      <c r="A189" s="37"/>
      <c r="C189" s="1"/>
      <c r="D189" s="41"/>
      <c r="E189" s="2"/>
    </row>
    <row r="190" spans="1:6" ht="15.6" x14ac:dyDescent="0.3">
      <c r="A190" s="37"/>
      <c r="C190" s="1"/>
      <c r="D190" s="2"/>
      <c r="E190" s="2"/>
    </row>
    <row r="191" spans="1:6" ht="15.6" x14ac:dyDescent="0.3">
      <c r="A191" s="37"/>
      <c r="C191" s="1"/>
      <c r="D191" s="2"/>
      <c r="E191" s="2"/>
      <c r="F191"/>
    </row>
    <row r="192" spans="1:6" ht="15.6" x14ac:dyDescent="0.3">
      <c r="A192" s="37"/>
      <c r="C192" s="1"/>
      <c r="D192" s="2"/>
      <c r="E192" s="2"/>
      <c r="F192"/>
    </row>
    <row r="193" spans="1:6" ht="15.6" x14ac:dyDescent="0.3">
      <c r="A193" s="39"/>
      <c r="C193" s="1"/>
      <c r="D193" s="2"/>
      <c r="E193" s="2"/>
      <c r="F193"/>
    </row>
    <row r="194" spans="1:6" ht="15.6" x14ac:dyDescent="0.3">
      <c r="A194" s="2"/>
      <c r="C194" s="1"/>
      <c r="D194" s="2"/>
      <c r="E194" s="2"/>
      <c r="F194"/>
    </row>
    <row r="195" spans="1:6" ht="15.6" x14ac:dyDescent="0.3">
      <c r="A195" s="36"/>
      <c r="C195" s="1"/>
      <c r="D195" s="41"/>
      <c r="E195" s="2"/>
    </row>
    <row r="196" spans="1:6" ht="15.6" x14ac:dyDescent="0.3">
      <c r="A196" s="39"/>
      <c r="C196" s="1"/>
      <c r="D196" s="41"/>
      <c r="E196" s="2"/>
    </row>
    <row r="197" spans="1:6" ht="15.6" x14ac:dyDescent="0.3">
      <c r="A197" s="2"/>
      <c r="C197" s="1"/>
      <c r="D197" s="41"/>
      <c r="E197" s="2"/>
    </row>
    <row r="198" spans="1:6" ht="15.6" x14ac:dyDescent="0.3">
      <c r="A198" s="2"/>
      <c r="C198" s="1"/>
      <c r="D198" s="41"/>
      <c r="E198" s="2"/>
      <c r="F198"/>
    </row>
    <row r="199" spans="1:6" ht="15.6" x14ac:dyDescent="0.3">
      <c r="A199" s="2"/>
      <c r="C199" s="1"/>
      <c r="D199" s="2"/>
      <c r="E199" s="2"/>
      <c r="F199"/>
    </row>
    <row r="200" spans="1:6" ht="15.6" x14ac:dyDescent="0.3">
      <c r="A200" s="2"/>
      <c r="C200" s="1"/>
      <c r="D200" s="41"/>
      <c r="E200" s="2"/>
    </row>
    <row r="201" spans="1:6" ht="15.6" x14ac:dyDescent="0.3">
      <c r="E201" s="2"/>
    </row>
  </sheetData>
  <sortState xmlns:xlrd2="http://schemas.microsoft.com/office/spreadsheetml/2017/richdata2" ref="A1:G19">
    <sortCondition descending="1" ref="G1:G19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1.Ejecutarconsultar_handicap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7620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brirSorteoEnOpera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7620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716C7-9158-4287-9CC9-4739D42335BA}">
  <sheetPr codeName="Hoja3"/>
  <dimension ref="A1:Q54"/>
  <sheetViews>
    <sheetView zoomScale="110" zoomScaleNormal="110" workbookViewId="0">
      <pane ySplit="1" topLeftCell="A2" activePane="bottomLeft" state="frozen"/>
      <selection pane="bottomLeft" activeCell="P13" sqref="P13"/>
    </sheetView>
  </sheetViews>
  <sheetFormatPr baseColWidth="10" defaultColWidth="11.44140625" defaultRowHeight="14.4" x14ac:dyDescent="0.3"/>
  <cols>
    <col min="1" max="1" width="3.44140625" customWidth="1"/>
    <col min="2" max="2" width="7.44140625" bestFit="1" customWidth="1"/>
    <col min="3" max="3" width="18.77734375" customWidth="1"/>
    <col min="4" max="4" width="19.77734375" bestFit="1" customWidth="1"/>
    <col min="5" max="5" width="7.44140625" bestFit="1" customWidth="1"/>
    <col min="6" max="6" width="7.77734375" bestFit="1" customWidth="1"/>
    <col min="7" max="7" width="7.44140625" bestFit="1" customWidth="1"/>
    <col min="8" max="8" width="4.33203125" customWidth="1"/>
    <col min="9" max="9" width="4.5546875" bestFit="1" customWidth="1"/>
    <col min="10" max="10" width="6.44140625" customWidth="1"/>
    <col min="11" max="11" width="7.21875" customWidth="1"/>
    <col min="12" max="12" width="8.77734375" bestFit="1" customWidth="1"/>
    <col min="13" max="13" width="9.6640625" customWidth="1"/>
    <col min="14" max="14" width="9.21875" customWidth="1"/>
    <col min="17" max="17" width="1.77734375" customWidth="1"/>
  </cols>
  <sheetData>
    <row r="1" spans="1:17" ht="15.6" x14ac:dyDescent="0.3">
      <c r="B1" s="6" t="s">
        <v>2</v>
      </c>
      <c r="C1" s="6" t="s">
        <v>3</v>
      </c>
      <c r="D1" s="6" t="s">
        <v>4</v>
      </c>
      <c r="E1" s="8" t="s">
        <v>5</v>
      </c>
      <c r="F1" s="6" t="s">
        <v>6</v>
      </c>
      <c r="G1" s="6" t="s">
        <v>7</v>
      </c>
      <c r="H1" s="6" t="s">
        <v>373</v>
      </c>
      <c r="I1" s="6" t="s">
        <v>374</v>
      </c>
      <c r="J1" s="6" t="s">
        <v>382</v>
      </c>
      <c r="K1" s="6" t="s">
        <v>383</v>
      </c>
      <c r="L1" s="6" t="s">
        <v>473</v>
      </c>
      <c r="M1" s="6" t="s">
        <v>385</v>
      </c>
      <c r="N1" s="6" t="s">
        <v>474</v>
      </c>
      <c r="O1" s="6"/>
      <c r="P1" s="6"/>
    </row>
    <row r="2" spans="1:17" ht="15.45" customHeight="1" x14ac:dyDescent="0.3">
      <c r="A2" s="145" t="s">
        <v>375</v>
      </c>
      <c r="B2" s="88">
        <v>30572</v>
      </c>
      <c r="C2" s="13" t="s">
        <v>225</v>
      </c>
      <c r="D2" s="14" t="s">
        <v>226</v>
      </c>
      <c r="E2" s="14" t="s">
        <v>533</v>
      </c>
      <c r="F2" s="89" t="s">
        <v>378</v>
      </c>
      <c r="G2" s="102">
        <v>19</v>
      </c>
      <c r="H2" s="90">
        <f>SUM(MAX(G2:G5), MIN(G2:G5))</f>
        <v>44</v>
      </c>
      <c r="I2" s="146" t="s">
        <v>546</v>
      </c>
      <c r="J2" s="91"/>
      <c r="K2" s="47"/>
      <c r="L2" s="47"/>
      <c r="M2" s="47"/>
      <c r="N2" s="47"/>
    </row>
    <row r="3" spans="1:17" ht="15.45" customHeight="1" x14ac:dyDescent="0.3">
      <c r="A3" s="145"/>
      <c r="B3" s="88">
        <v>21865</v>
      </c>
      <c r="C3" s="13" t="s">
        <v>107</v>
      </c>
      <c r="D3" s="14" t="s">
        <v>108</v>
      </c>
      <c r="E3" s="14" t="s">
        <v>534</v>
      </c>
      <c r="F3" s="89" t="s">
        <v>378</v>
      </c>
      <c r="G3" s="90">
        <v>16</v>
      </c>
      <c r="H3" s="90">
        <f>SUM(G2:G5)-H2</f>
        <v>44</v>
      </c>
      <c r="I3" s="147"/>
      <c r="J3" s="91"/>
      <c r="K3" s="47"/>
      <c r="L3" s="47"/>
      <c r="M3" s="47"/>
      <c r="N3" s="47"/>
    </row>
    <row r="4" spans="1:17" ht="15.45" customHeight="1" x14ac:dyDescent="0.3">
      <c r="A4" s="145"/>
      <c r="B4" s="88">
        <v>18411</v>
      </c>
      <c r="C4" s="13" t="s">
        <v>28</v>
      </c>
      <c r="D4" s="14" t="s">
        <v>29</v>
      </c>
      <c r="E4" s="117" t="s">
        <v>544</v>
      </c>
      <c r="F4" s="89" t="s">
        <v>378</v>
      </c>
      <c r="G4" s="102">
        <v>25</v>
      </c>
      <c r="H4" s="92">
        <f>+H2-H3</f>
        <v>0</v>
      </c>
      <c r="I4" s="147"/>
      <c r="J4" s="91"/>
      <c r="K4" s="47"/>
      <c r="L4" s="47"/>
      <c r="M4" s="47"/>
      <c r="N4" s="47"/>
    </row>
    <row r="5" spans="1:17" ht="15.45" customHeight="1" x14ac:dyDescent="0.3">
      <c r="A5" s="145"/>
      <c r="B5" s="88">
        <v>24283</v>
      </c>
      <c r="C5" s="13" t="s">
        <v>287</v>
      </c>
      <c r="D5" s="14" t="s">
        <v>288</v>
      </c>
      <c r="E5" s="117">
        <v>27</v>
      </c>
      <c r="F5" s="89" t="s">
        <v>378</v>
      </c>
      <c r="G5" s="123">
        <v>28</v>
      </c>
      <c r="H5" s="90">
        <f>(MAX(G2:G5) -MIN(G2:G5))</f>
        <v>12</v>
      </c>
      <c r="I5" s="147"/>
      <c r="J5" s="91"/>
      <c r="K5" s="47"/>
      <c r="L5" s="136"/>
      <c r="M5" s="60"/>
      <c r="N5" s="55"/>
      <c r="O5" s="130"/>
      <c r="P5" s="131"/>
      <c r="Q5" s="132"/>
    </row>
    <row r="6" spans="1:17" ht="15.45" customHeight="1" x14ac:dyDescent="0.3">
      <c r="A6" s="142" t="s">
        <v>376</v>
      </c>
      <c r="B6" s="93">
        <v>26953</v>
      </c>
      <c r="C6" s="45" t="s">
        <v>120</v>
      </c>
      <c r="D6" s="46" t="s">
        <v>121</v>
      </c>
      <c r="E6" s="46" t="s">
        <v>512</v>
      </c>
      <c r="F6" s="94" t="s">
        <v>377</v>
      </c>
      <c r="G6" s="103">
        <v>8</v>
      </c>
      <c r="H6" s="133">
        <f>SUM(MAX(G6:G9), MIN(G6:G9))</f>
        <v>27</v>
      </c>
      <c r="I6" s="143">
        <v>0.25694444444444448</v>
      </c>
      <c r="J6" s="91"/>
      <c r="K6" s="47"/>
      <c r="L6" s="47"/>
      <c r="M6" s="47"/>
      <c r="N6" s="47"/>
    </row>
    <row r="7" spans="1:17" ht="15.45" customHeight="1" x14ac:dyDescent="0.3">
      <c r="A7" s="142"/>
      <c r="B7" s="93">
        <v>15107</v>
      </c>
      <c r="C7" s="45" t="s">
        <v>153</v>
      </c>
      <c r="D7" s="46" t="s">
        <v>154</v>
      </c>
      <c r="E7" s="46" t="s">
        <v>530</v>
      </c>
      <c r="F7" s="94" t="s">
        <v>377</v>
      </c>
      <c r="G7" s="103">
        <v>19</v>
      </c>
      <c r="H7" s="133">
        <f>SUM(G6:G9)-H6</f>
        <v>26</v>
      </c>
      <c r="I7" s="144"/>
      <c r="J7" s="91"/>
      <c r="K7" s="47"/>
      <c r="L7" s="47"/>
      <c r="M7" s="47"/>
      <c r="N7" s="47"/>
    </row>
    <row r="8" spans="1:17" ht="15.45" customHeight="1" x14ac:dyDescent="0.3">
      <c r="A8" s="142"/>
      <c r="B8" s="93">
        <v>30087</v>
      </c>
      <c r="C8" s="45" t="s">
        <v>149</v>
      </c>
      <c r="D8" s="46" t="s">
        <v>150</v>
      </c>
      <c r="E8" s="46" t="s">
        <v>532</v>
      </c>
      <c r="F8" s="94" t="s">
        <v>377</v>
      </c>
      <c r="G8" s="103">
        <v>11</v>
      </c>
      <c r="H8" s="33">
        <f>+H6-H7</f>
        <v>1</v>
      </c>
      <c r="I8" s="144"/>
      <c r="J8" s="91"/>
      <c r="K8" s="47"/>
      <c r="L8" s="47"/>
      <c r="M8" s="47"/>
      <c r="N8" s="47"/>
    </row>
    <row r="9" spans="1:17" ht="15.45" customHeight="1" x14ac:dyDescent="0.3">
      <c r="A9" s="142"/>
      <c r="B9" s="93">
        <v>4080</v>
      </c>
      <c r="C9" s="45" t="s">
        <v>191</v>
      </c>
      <c r="D9" s="46" t="s">
        <v>106</v>
      </c>
      <c r="E9" s="46" t="s">
        <v>537</v>
      </c>
      <c r="F9" s="94" t="s">
        <v>378</v>
      </c>
      <c r="G9" s="134">
        <v>15</v>
      </c>
      <c r="H9" s="133">
        <f>(MAX(G6:G9) -MIN(G6:G9))</f>
        <v>11</v>
      </c>
      <c r="I9" s="144"/>
      <c r="J9" s="91"/>
      <c r="K9" s="47"/>
      <c r="L9" s="47"/>
      <c r="M9" s="47"/>
      <c r="N9" s="47"/>
    </row>
    <row r="10" spans="1:17" ht="15.45" customHeight="1" x14ac:dyDescent="0.3">
      <c r="A10" s="145" t="s">
        <v>379</v>
      </c>
      <c r="B10" s="88">
        <v>28225</v>
      </c>
      <c r="C10" s="13" t="s">
        <v>222</v>
      </c>
      <c r="D10" s="14" t="s">
        <v>233</v>
      </c>
      <c r="E10" s="117">
        <v>13</v>
      </c>
      <c r="F10" s="89" t="s">
        <v>377</v>
      </c>
      <c r="G10" s="123">
        <v>14</v>
      </c>
      <c r="H10" s="90">
        <f>SUM(MAX(G10:G13), MIN(G10:G13))</f>
        <v>31</v>
      </c>
      <c r="I10" s="146">
        <v>0.2638888888888889</v>
      </c>
      <c r="J10" s="91"/>
      <c r="K10" s="47"/>
      <c r="L10" s="47"/>
      <c r="M10" s="96"/>
      <c r="N10" s="97"/>
    </row>
    <row r="11" spans="1:17" ht="15.45" customHeight="1" x14ac:dyDescent="0.3">
      <c r="A11" s="145"/>
      <c r="B11" s="88">
        <v>16260</v>
      </c>
      <c r="C11" s="13" t="s">
        <v>270</v>
      </c>
      <c r="D11" s="14" t="s">
        <v>271</v>
      </c>
      <c r="E11" s="117" t="s">
        <v>542</v>
      </c>
      <c r="F11" s="89" t="s">
        <v>377</v>
      </c>
      <c r="G11" s="123">
        <v>19</v>
      </c>
      <c r="H11" s="90">
        <f>SUM(G10:G13)-H10</f>
        <v>32</v>
      </c>
      <c r="I11" s="147"/>
      <c r="J11" s="91"/>
      <c r="K11" s="47"/>
      <c r="L11" s="47"/>
      <c r="M11" s="47"/>
      <c r="N11" s="47"/>
    </row>
    <row r="12" spans="1:17" ht="15.45" customHeight="1" x14ac:dyDescent="0.3">
      <c r="A12" s="145"/>
      <c r="B12" s="88">
        <v>7891</v>
      </c>
      <c r="C12" s="13" t="s">
        <v>220</v>
      </c>
      <c r="D12" s="14" t="s">
        <v>221</v>
      </c>
      <c r="E12" s="117" t="s">
        <v>535</v>
      </c>
      <c r="F12" s="135" t="s">
        <v>378</v>
      </c>
      <c r="G12" s="123">
        <v>18</v>
      </c>
      <c r="H12" s="92">
        <f>+H10-H11</f>
        <v>-1</v>
      </c>
      <c r="I12" s="147"/>
      <c r="J12" s="91"/>
      <c r="K12" s="47"/>
      <c r="L12" s="47"/>
      <c r="M12" s="47"/>
      <c r="N12" s="47"/>
    </row>
    <row r="13" spans="1:17" ht="15.45" customHeight="1" x14ac:dyDescent="0.3">
      <c r="A13" s="145"/>
      <c r="B13" s="88">
        <v>16552</v>
      </c>
      <c r="C13" s="13" t="s">
        <v>272</v>
      </c>
      <c r="D13" s="14" t="s">
        <v>273</v>
      </c>
      <c r="E13" s="14" t="s">
        <v>540</v>
      </c>
      <c r="F13" s="89" t="s">
        <v>377</v>
      </c>
      <c r="G13" s="102">
        <v>12</v>
      </c>
      <c r="H13" s="90">
        <f>(MAX(G10:G13) -MIN(G10:G13))</f>
        <v>7</v>
      </c>
      <c r="I13" s="147"/>
      <c r="J13" s="91"/>
      <c r="K13" s="47"/>
      <c r="L13" s="47"/>
      <c r="M13" s="47"/>
      <c r="N13" s="47"/>
    </row>
    <row r="14" spans="1:17" ht="15.45" customHeight="1" x14ac:dyDescent="0.3">
      <c r="A14" s="142" t="s">
        <v>523</v>
      </c>
      <c r="B14" s="93">
        <v>33318</v>
      </c>
      <c r="C14" s="45" t="s">
        <v>545</v>
      </c>
      <c r="D14" s="46" t="s">
        <v>97</v>
      </c>
      <c r="E14" s="46">
        <v>8.1999999999999993</v>
      </c>
      <c r="F14" s="94" t="s">
        <v>377</v>
      </c>
      <c r="G14" s="103">
        <v>8</v>
      </c>
      <c r="H14" s="95">
        <f>SUM(MAX(G14:G17), MIN(G14:G17))</f>
        <v>18</v>
      </c>
      <c r="I14" s="143">
        <v>0.27083333333333331</v>
      </c>
      <c r="J14" s="91"/>
      <c r="K14" s="47"/>
      <c r="L14" s="47"/>
      <c r="M14" s="47"/>
      <c r="N14" s="47"/>
    </row>
    <row r="15" spans="1:17" ht="15.45" customHeight="1" x14ac:dyDescent="0.3">
      <c r="A15" s="142"/>
      <c r="B15" s="93">
        <v>13625</v>
      </c>
      <c r="C15" s="45" t="s">
        <v>222</v>
      </c>
      <c r="D15" s="46" t="s">
        <v>223</v>
      </c>
      <c r="E15" s="46" t="s">
        <v>525</v>
      </c>
      <c r="F15" s="94" t="s">
        <v>377</v>
      </c>
      <c r="G15" s="103">
        <v>10</v>
      </c>
      <c r="H15" s="95">
        <f>SUM(G14:G17)-H14</f>
        <v>20</v>
      </c>
      <c r="I15" s="144"/>
      <c r="J15" s="91"/>
      <c r="K15" s="47"/>
      <c r="L15" s="47"/>
      <c r="M15" s="47"/>
      <c r="N15" s="47"/>
    </row>
    <row r="16" spans="1:17" ht="15.45" customHeight="1" x14ac:dyDescent="0.3">
      <c r="A16" s="142"/>
      <c r="B16" s="93">
        <v>18908</v>
      </c>
      <c r="C16" s="45" t="s">
        <v>190</v>
      </c>
      <c r="D16" s="46" t="s">
        <v>88</v>
      </c>
      <c r="E16" s="46" t="s">
        <v>538</v>
      </c>
      <c r="F16" s="94" t="s">
        <v>377</v>
      </c>
      <c r="G16" s="103">
        <v>10</v>
      </c>
      <c r="H16" s="92">
        <f>+H14-H15</f>
        <v>-2</v>
      </c>
      <c r="I16" s="144"/>
      <c r="J16" s="91"/>
      <c r="K16" s="47"/>
      <c r="L16" s="47"/>
      <c r="M16" s="47"/>
      <c r="N16" s="47"/>
    </row>
    <row r="17" spans="1:14" ht="15.45" customHeight="1" x14ac:dyDescent="0.3">
      <c r="A17" s="142"/>
      <c r="B17" s="93">
        <v>12724</v>
      </c>
      <c r="C17" s="45" t="s">
        <v>460</v>
      </c>
      <c r="D17" s="46" t="s">
        <v>246</v>
      </c>
      <c r="E17" s="46" t="s">
        <v>508</v>
      </c>
      <c r="F17" s="94" t="s">
        <v>377</v>
      </c>
      <c r="G17" s="104">
        <v>10</v>
      </c>
      <c r="H17" s="95">
        <f>(MAX(G14:G17) -MIN(G14:G17))</f>
        <v>2</v>
      </c>
      <c r="I17" s="144"/>
      <c r="J17" s="91"/>
      <c r="K17" s="47"/>
      <c r="L17" s="47"/>
      <c r="M17" s="47"/>
      <c r="N17" s="47"/>
    </row>
    <row r="18" spans="1:14" ht="15.45" customHeight="1" x14ac:dyDescent="0.3">
      <c r="A18" s="145" t="s">
        <v>375</v>
      </c>
      <c r="B18" s="88"/>
      <c r="C18" s="13"/>
      <c r="D18" s="14"/>
      <c r="E18" s="14"/>
      <c r="F18" s="89"/>
      <c r="G18" s="102"/>
      <c r="H18" s="15"/>
      <c r="I18" s="146"/>
      <c r="J18" s="91"/>
      <c r="K18" s="47"/>
      <c r="L18" s="47"/>
      <c r="M18" s="47"/>
      <c r="N18" s="47"/>
    </row>
    <row r="19" spans="1:14" ht="15.45" customHeight="1" x14ac:dyDescent="0.3">
      <c r="A19" s="145"/>
      <c r="B19" s="88"/>
      <c r="C19" s="13"/>
      <c r="D19" s="14"/>
      <c r="E19" s="14"/>
      <c r="F19" s="89"/>
      <c r="G19" s="102"/>
      <c r="H19" s="15"/>
      <c r="I19" s="147"/>
      <c r="J19" s="91"/>
      <c r="K19" s="47"/>
      <c r="L19" s="47"/>
      <c r="M19" s="47"/>
      <c r="N19" s="47"/>
    </row>
    <row r="20" spans="1:14" ht="15.45" customHeight="1" x14ac:dyDescent="0.3">
      <c r="A20" s="145"/>
      <c r="B20" s="88"/>
      <c r="C20" s="13"/>
      <c r="D20" s="14"/>
      <c r="E20" s="14"/>
      <c r="F20" s="89"/>
      <c r="G20" s="102"/>
      <c r="H20" s="33"/>
      <c r="I20" s="147"/>
      <c r="J20" s="91"/>
      <c r="K20" s="47"/>
      <c r="L20" s="47"/>
      <c r="M20" s="47"/>
      <c r="N20" s="47"/>
    </row>
    <row r="21" spans="1:14" ht="15.45" customHeight="1" x14ac:dyDescent="0.3">
      <c r="A21" s="145"/>
      <c r="B21" s="88"/>
      <c r="C21" s="13"/>
      <c r="D21" s="14"/>
      <c r="E21" s="14"/>
      <c r="F21" s="89"/>
      <c r="G21" s="115"/>
      <c r="H21" s="15"/>
      <c r="I21" s="147"/>
      <c r="J21" s="91"/>
      <c r="K21" s="47"/>
      <c r="L21" s="47"/>
      <c r="M21" s="47"/>
      <c r="N21" s="47"/>
    </row>
    <row r="22" spans="1:14" ht="15.45" customHeight="1" x14ac:dyDescent="0.3">
      <c r="A22" s="142" t="s">
        <v>376</v>
      </c>
      <c r="B22" s="93"/>
      <c r="C22" s="45"/>
      <c r="D22" s="46"/>
      <c r="E22" s="116"/>
      <c r="F22" s="94"/>
      <c r="G22" s="114"/>
      <c r="H22" s="95"/>
      <c r="I22" s="143"/>
      <c r="J22" s="47"/>
      <c r="K22" s="47"/>
      <c r="L22" s="47"/>
      <c r="M22" s="47"/>
      <c r="N22" s="47"/>
    </row>
    <row r="23" spans="1:14" ht="15.6" x14ac:dyDescent="0.3">
      <c r="A23" s="142"/>
      <c r="B23" s="93"/>
      <c r="C23" s="45"/>
      <c r="D23" s="46"/>
      <c r="E23" s="116"/>
      <c r="F23" s="94"/>
      <c r="G23" s="114"/>
      <c r="H23" s="95"/>
      <c r="I23" s="144"/>
      <c r="J23" s="47"/>
      <c r="K23" s="47"/>
      <c r="L23" s="47"/>
      <c r="M23" s="47"/>
      <c r="N23" s="47"/>
    </row>
    <row r="24" spans="1:14" ht="15.6" x14ac:dyDescent="0.3">
      <c r="A24" s="142"/>
      <c r="B24" s="93"/>
      <c r="C24" s="45"/>
      <c r="D24" s="46"/>
      <c r="E24" s="116"/>
      <c r="F24" s="113"/>
      <c r="G24" s="114"/>
      <c r="H24" s="92"/>
      <c r="I24" s="144"/>
      <c r="J24" s="47"/>
      <c r="K24" s="47"/>
      <c r="L24" s="47"/>
      <c r="M24" s="47"/>
      <c r="N24" s="47"/>
    </row>
    <row r="25" spans="1:14" ht="15.6" x14ac:dyDescent="0.3">
      <c r="A25" s="142"/>
      <c r="B25" s="93"/>
      <c r="C25" s="45"/>
      <c r="D25" s="46"/>
      <c r="E25" s="46"/>
      <c r="F25" s="94"/>
      <c r="G25" s="103"/>
      <c r="H25" s="95"/>
      <c r="I25" s="144"/>
      <c r="J25" s="47"/>
      <c r="K25" s="47"/>
      <c r="L25" s="47"/>
      <c r="M25" s="47"/>
      <c r="N25" s="47"/>
    </row>
    <row r="26" spans="1:14" ht="16.05" customHeight="1" x14ac:dyDescent="0.3">
      <c r="A26" s="145" t="s">
        <v>379</v>
      </c>
      <c r="B26" s="88"/>
      <c r="C26" s="13"/>
      <c r="D26" s="14"/>
      <c r="E26" s="14"/>
      <c r="F26" s="89"/>
      <c r="G26" s="102"/>
      <c r="H26" s="90"/>
      <c r="I26" s="146"/>
      <c r="J26" s="47"/>
      <c r="K26" s="47"/>
      <c r="L26" s="47"/>
      <c r="M26" s="47"/>
      <c r="N26" s="47"/>
    </row>
    <row r="27" spans="1:14" ht="15.6" x14ac:dyDescent="0.3">
      <c r="A27" s="145"/>
      <c r="B27" s="88"/>
      <c r="C27" s="13"/>
      <c r="D27" s="14"/>
      <c r="E27" s="14"/>
      <c r="F27" s="89"/>
      <c r="G27" s="90"/>
      <c r="H27" s="90"/>
      <c r="I27" s="147"/>
      <c r="J27" s="47"/>
      <c r="K27" s="47"/>
      <c r="L27" s="47"/>
      <c r="M27" s="47"/>
      <c r="N27" s="47"/>
    </row>
    <row r="28" spans="1:14" ht="15.6" x14ac:dyDescent="0.3">
      <c r="A28" s="145"/>
      <c r="B28" s="88"/>
      <c r="C28" s="13"/>
      <c r="D28" s="14"/>
      <c r="E28" s="117"/>
      <c r="F28" s="89"/>
      <c r="G28" s="102"/>
      <c r="H28" s="92"/>
      <c r="I28" s="147"/>
      <c r="J28" s="47"/>
      <c r="K28" s="47"/>
      <c r="L28" s="47"/>
      <c r="M28" s="47"/>
      <c r="N28" s="47"/>
    </row>
    <row r="29" spans="1:14" ht="15.6" x14ac:dyDescent="0.3">
      <c r="A29" s="145"/>
      <c r="B29" s="88"/>
      <c r="C29" s="13"/>
      <c r="D29" s="14"/>
      <c r="E29" s="117"/>
      <c r="F29" s="89"/>
      <c r="G29" s="123"/>
      <c r="H29" s="90"/>
      <c r="I29" s="147"/>
      <c r="J29" s="47"/>
      <c r="K29" s="47"/>
      <c r="L29" s="47"/>
      <c r="M29" s="47"/>
      <c r="N29" s="47"/>
    </row>
    <row r="30" spans="1:14" ht="16.05" customHeight="1" x14ac:dyDescent="0.3">
      <c r="A30" s="142" t="s">
        <v>523</v>
      </c>
      <c r="B30" s="93"/>
      <c r="C30" s="45"/>
      <c r="D30" s="46"/>
      <c r="E30" s="46"/>
      <c r="F30" s="94"/>
      <c r="G30" s="103"/>
      <c r="H30" s="95"/>
      <c r="I30" s="143"/>
      <c r="J30" s="47"/>
      <c r="K30" s="47"/>
      <c r="L30" s="47"/>
      <c r="M30" s="47"/>
      <c r="N30" s="47"/>
    </row>
    <row r="31" spans="1:14" ht="15.6" x14ac:dyDescent="0.3">
      <c r="A31" s="142"/>
      <c r="B31" s="93"/>
      <c r="C31" s="45"/>
      <c r="D31" s="46"/>
      <c r="E31" s="46"/>
      <c r="F31" s="94"/>
      <c r="G31" s="103"/>
      <c r="H31" s="95"/>
      <c r="I31" s="144"/>
      <c r="J31" s="47"/>
      <c r="K31" s="47"/>
      <c r="L31" s="47"/>
      <c r="M31" s="47"/>
      <c r="N31" s="47"/>
    </row>
    <row r="32" spans="1:14" ht="15.6" x14ac:dyDescent="0.3">
      <c r="A32" s="142"/>
      <c r="B32" s="93"/>
      <c r="C32" s="45"/>
      <c r="D32" s="46"/>
      <c r="E32" s="46"/>
      <c r="F32" s="94"/>
      <c r="G32" s="103"/>
      <c r="H32" s="92"/>
      <c r="I32" s="144"/>
      <c r="J32" s="47"/>
      <c r="K32" s="47"/>
      <c r="L32" s="47"/>
      <c r="M32" s="47"/>
      <c r="N32" s="47"/>
    </row>
    <row r="33" spans="1:14" ht="15.6" x14ac:dyDescent="0.3">
      <c r="A33" s="142"/>
      <c r="B33" s="93"/>
      <c r="C33" s="45"/>
      <c r="D33" s="46"/>
      <c r="E33" s="46"/>
      <c r="F33" s="94"/>
      <c r="G33" s="104"/>
      <c r="H33" s="95"/>
      <c r="I33" s="144"/>
      <c r="J33" s="47"/>
      <c r="K33" s="47"/>
      <c r="L33" s="47"/>
      <c r="M33" s="47"/>
      <c r="N33" s="47"/>
    </row>
    <row r="37" spans="1:14" ht="15.6" x14ac:dyDescent="0.3">
      <c r="B37" s="57">
        <v>26953</v>
      </c>
      <c r="C37" s="48" t="s">
        <v>120</v>
      </c>
      <c r="D37" s="48" t="s">
        <v>121</v>
      </c>
      <c r="E37" s="99" t="s">
        <v>512</v>
      </c>
      <c r="F37" s="100" t="s">
        <v>484</v>
      </c>
      <c r="G37" s="99" t="s">
        <v>513</v>
      </c>
    </row>
    <row r="38" spans="1:14" ht="15.6" x14ac:dyDescent="0.3">
      <c r="B38" s="57">
        <v>13625</v>
      </c>
      <c r="C38" s="48" t="s">
        <v>222</v>
      </c>
      <c r="D38" s="48" t="s">
        <v>223</v>
      </c>
      <c r="E38" s="99" t="s">
        <v>508</v>
      </c>
      <c r="F38" s="100" t="s">
        <v>484</v>
      </c>
      <c r="G38" s="99" t="s">
        <v>509</v>
      </c>
    </row>
    <row r="39" spans="1:14" ht="15.6" x14ac:dyDescent="0.3">
      <c r="B39" s="57">
        <v>12724</v>
      </c>
      <c r="C39" s="48" t="s">
        <v>460</v>
      </c>
      <c r="D39" s="48" t="s">
        <v>246</v>
      </c>
      <c r="E39" s="99" t="s">
        <v>517</v>
      </c>
      <c r="F39" s="100" t="s">
        <v>484</v>
      </c>
      <c r="G39" s="99" t="s">
        <v>518</v>
      </c>
    </row>
    <row r="40" spans="1:14" ht="15.6" x14ac:dyDescent="0.3">
      <c r="B40" s="57">
        <v>30087</v>
      </c>
      <c r="C40" s="48" t="s">
        <v>149</v>
      </c>
      <c r="D40" s="48" t="s">
        <v>150</v>
      </c>
      <c r="E40" s="99" t="s">
        <v>497</v>
      </c>
      <c r="F40" s="100" t="s">
        <v>484</v>
      </c>
      <c r="G40" s="99" t="s">
        <v>498</v>
      </c>
    </row>
    <row r="41" spans="1:14" ht="15.6" x14ac:dyDescent="0.3">
      <c r="B41" s="57">
        <v>16552</v>
      </c>
      <c r="C41" s="48" t="s">
        <v>272</v>
      </c>
      <c r="D41" s="48" t="s">
        <v>273</v>
      </c>
      <c r="E41" s="99" t="s">
        <v>504</v>
      </c>
      <c r="F41" s="100" t="s">
        <v>484</v>
      </c>
      <c r="G41" s="99" t="s">
        <v>498</v>
      </c>
    </row>
    <row r="42" spans="1:14" ht="15.6" x14ac:dyDescent="0.3">
      <c r="B42" s="57">
        <v>27435</v>
      </c>
      <c r="C42" s="48" t="s">
        <v>151</v>
      </c>
      <c r="D42" s="48" t="s">
        <v>152</v>
      </c>
      <c r="E42" s="99" t="s">
        <v>510</v>
      </c>
      <c r="F42" s="100" t="s">
        <v>484</v>
      </c>
      <c r="G42" s="99" t="s">
        <v>498</v>
      </c>
    </row>
    <row r="43" spans="1:14" ht="15.6" x14ac:dyDescent="0.3">
      <c r="B43" s="57">
        <v>28225</v>
      </c>
      <c r="C43" s="48" t="s">
        <v>222</v>
      </c>
      <c r="D43" s="48" t="s">
        <v>233</v>
      </c>
      <c r="E43" s="99" t="s">
        <v>490</v>
      </c>
      <c r="F43" s="100" t="s">
        <v>484</v>
      </c>
      <c r="G43" s="99" t="s">
        <v>491</v>
      </c>
    </row>
    <row r="44" spans="1:14" ht="15.6" x14ac:dyDescent="0.3">
      <c r="B44" s="61">
        <v>21865</v>
      </c>
      <c r="C44" s="53" t="s">
        <v>107</v>
      </c>
      <c r="D44" s="53" t="s">
        <v>108</v>
      </c>
      <c r="E44" s="99">
        <v>16.100000000000001</v>
      </c>
      <c r="F44" s="100" t="s">
        <v>485</v>
      </c>
      <c r="G44" s="99">
        <v>16</v>
      </c>
    </row>
    <row r="45" spans="1:14" ht="15.6" x14ac:dyDescent="0.3">
      <c r="B45" s="57">
        <v>17043</v>
      </c>
      <c r="C45" s="48" t="s">
        <v>118</v>
      </c>
      <c r="D45" s="48" t="s">
        <v>119</v>
      </c>
      <c r="E45" s="99" t="s">
        <v>487</v>
      </c>
      <c r="F45" s="100" t="s">
        <v>485</v>
      </c>
      <c r="G45" s="99" t="s">
        <v>488</v>
      </c>
    </row>
    <row r="46" spans="1:14" x14ac:dyDescent="0.3">
      <c r="B46" s="62">
        <v>22156</v>
      </c>
      <c r="C46" s="100" t="s">
        <v>231</v>
      </c>
      <c r="D46" s="100" t="s">
        <v>232</v>
      </c>
      <c r="E46" s="99" t="s">
        <v>520</v>
      </c>
      <c r="F46" s="100" t="s">
        <v>485</v>
      </c>
      <c r="G46" s="99" t="s">
        <v>488</v>
      </c>
    </row>
    <row r="47" spans="1:14" ht="15.6" x14ac:dyDescent="0.3">
      <c r="B47" s="57">
        <v>7891</v>
      </c>
      <c r="C47" s="48" t="s">
        <v>220</v>
      </c>
      <c r="D47" s="48" t="s">
        <v>221</v>
      </c>
      <c r="E47" s="99" t="s">
        <v>500</v>
      </c>
      <c r="F47" s="100" t="s">
        <v>485</v>
      </c>
      <c r="G47" s="99" t="s">
        <v>493</v>
      </c>
    </row>
    <row r="48" spans="1:14" ht="15.6" x14ac:dyDescent="0.3">
      <c r="B48" s="57">
        <v>15107</v>
      </c>
      <c r="C48" s="48" t="s">
        <v>153</v>
      </c>
      <c r="D48" s="48" t="s">
        <v>154</v>
      </c>
      <c r="E48" s="99" t="s">
        <v>492</v>
      </c>
      <c r="F48" s="100" t="s">
        <v>484</v>
      </c>
      <c r="G48" s="99" t="s">
        <v>493</v>
      </c>
    </row>
    <row r="49" spans="2:7" ht="15.6" x14ac:dyDescent="0.3">
      <c r="B49" s="57">
        <v>31818</v>
      </c>
      <c r="C49" s="48" t="s">
        <v>235</v>
      </c>
      <c r="D49" s="48" t="s">
        <v>236</v>
      </c>
      <c r="E49" s="99" t="s">
        <v>519</v>
      </c>
      <c r="F49" s="100" t="s">
        <v>484</v>
      </c>
      <c r="G49" s="99" t="s">
        <v>493</v>
      </c>
    </row>
    <row r="50" spans="2:7" ht="15.6" x14ac:dyDescent="0.3">
      <c r="B50" s="57">
        <v>3936</v>
      </c>
      <c r="C50" s="48" t="s">
        <v>462</v>
      </c>
      <c r="D50" s="48" t="s">
        <v>463</v>
      </c>
      <c r="E50" s="99" t="s">
        <v>505</v>
      </c>
      <c r="F50" s="100" t="s">
        <v>484</v>
      </c>
      <c r="G50" s="99" t="s">
        <v>506</v>
      </c>
    </row>
    <row r="51" spans="2:7" ht="15.6" x14ac:dyDescent="0.3">
      <c r="B51" s="57">
        <v>30572</v>
      </c>
      <c r="C51" s="48" t="s">
        <v>225</v>
      </c>
      <c r="D51" s="48" t="s">
        <v>226</v>
      </c>
      <c r="E51" s="99" t="s">
        <v>515</v>
      </c>
      <c r="F51" s="100" t="s">
        <v>485</v>
      </c>
      <c r="G51" s="99" t="s">
        <v>506</v>
      </c>
    </row>
    <row r="52" spans="2:7" ht="15.6" x14ac:dyDescent="0.3">
      <c r="B52" s="58">
        <v>28433</v>
      </c>
      <c r="C52" s="48" t="s">
        <v>353</v>
      </c>
      <c r="D52" s="48" t="s">
        <v>354</v>
      </c>
      <c r="E52" s="99" t="s">
        <v>494</v>
      </c>
      <c r="F52" s="100" t="s">
        <v>485</v>
      </c>
      <c r="G52" s="99" t="s">
        <v>495</v>
      </c>
    </row>
    <row r="53" spans="2:7" ht="15.6" x14ac:dyDescent="0.3">
      <c r="B53" s="57">
        <v>8473</v>
      </c>
      <c r="C53" s="48" t="s">
        <v>58</v>
      </c>
      <c r="D53" s="48" t="s">
        <v>59</v>
      </c>
      <c r="E53" s="99" t="s">
        <v>521</v>
      </c>
      <c r="F53" s="100" t="s">
        <v>485</v>
      </c>
      <c r="G53" s="99" t="s">
        <v>522</v>
      </c>
    </row>
    <row r="54" spans="2:7" x14ac:dyDescent="0.3">
      <c r="B54" s="101">
        <v>24283</v>
      </c>
      <c r="C54" s="47" t="s">
        <v>287</v>
      </c>
      <c r="D54" s="47" t="s">
        <v>288</v>
      </c>
      <c r="E54" s="99" t="s">
        <v>501</v>
      </c>
      <c r="F54" s="100" t="s">
        <v>485</v>
      </c>
      <c r="G54" s="99" t="s">
        <v>502</v>
      </c>
    </row>
  </sheetData>
  <sortState xmlns:xlrd2="http://schemas.microsoft.com/office/spreadsheetml/2017/richdata2" ref="B37:G55">
    <sortCondition ref="G37:G55"/>
  </sortState>
  <mergeCells count="16">
    <mergeCell ref="A30:A33"/>
    <mergeCell ref="I30:I33"/>
    <mergeCell ref="A26:A29"/>
    <mergeCell ref="A22:A25"/>
    <mergeCell ref="A2:A5"/>
    <mergeCell ref="A6:A9"/>
    <mergeCell ref="A10:A13"/>
    <mergeCell ref="A14:A17"/>
    <mergeCell ref="A18:A21"/>
    <mergeCell ref="I2:I5"/>
    <mergeCell ref="I10:I13"/>
    <mergeCell ref="I18:I21"/>
    <mergeCell ref="I26:I29"/>
    <mergeCell ref="I6:I9"/>
    <mergeCell ref="I14:I17"/>
    <mergeCell ref="I22:I2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D9970-E411-4CDB-9938-CB6650505600}">
  <sheetPr codeName="Hoja4"/>
  <dimension ref="A1:P351"/>
  <sheetViews>
    <sheetView zoomScale="130" zoomScaleNormal="130" workbookViewId="0">
      <pane ySplit="1" topLeftCell="A207" activePane="bottomLeft" state="frozen"/>
      <selection pane="bottomLeft" activeCell="A188" sqref="A188:P235"/>
    </sheetView>
  </sheetViews>
  <sheetFormatPr baseColWidth="10" defaultColWidth="11.44140625" defaultRowHeight="14.4" x14ac:dyDescent="0.3"/>
  <cols>
    <col min="1" max="1" width="10.77734375" bestFit="1" customWidth="1"/>
    <col min="2" max="2" width="7.44140625" bestFit="1" customWidth="1"/>
    <col min="3" max="3" width="22.44140625" bestFit="1" customWidth="1"/>
    <col min="4" max="4" width="19.44140625" bestFit="1" customWidth="1"/>
    <col min="5" max="5" width="7.44140625" customWidth="1"/>
    <col min="6" max="6" width="14.21875" bestFit="1" customWidth="1"/>
    <col min="7" max="7" width="6.44140625" customWidth="1"/>
    <col min="8" max="8" width="14.44140625" hidden="1" customWidth="1"/>
    <col min="9" max="12" width="11.44140625" customWidth="1"/>
    <col min="13" max="13" width="12.88671875" style="10" bestFit="1" customWidth="1"/>
    <col min="14" max="14" width="14.44140625" style="10" bestFit="1" customWidth="1"/>
    <col min="15" max="15" width="13" style="10" bestFit="1" customWidth="1"/>
    <col min="16" max="16" width="12.77734375" style="10" bestFit="1" customWidth="1"/>
  </cols>
  <sheetData>
    <row r="1" spans="1:16" ht="15.6" x14ac:dyDescent="0.3">
      <c r="A1" s="6" t="s">
        <v>380</v>
      </c>
      <c r="B1" s="6" t="s">
        <v>2</v>
      </c>
      <c r="C1" s="6" t="s">
        <v>3</v>
      </c>
      <c r="D1" s="6" t="s">
        <v>4</v>
      </c>
      <c r="E1" s="8" t="s">
        <v>5</v>
      </c>
      <c r="F1" s="6" t="s">
        <v>6</v>
      </c>
      <c r="G1" s="6" t="s">
        <v>7</v>
      </c>
      <c r="H1" s="6" t="s">
        <v>381</v>
      </c>
      <c r="I1" s="6" t="s">
        <v>382</v>
      </c>
      <c r="J1" s="6" t="s">
        <v>383</v>
      </c>
      <c r="K1" s="6" t="s">
        <v>384</v>
      </c>
      <c r="L1" s="6" t="s">
        <v>8</v>
      </c>
      <c r="M1" s="12" t="s">
        <v>385</v>
      </c>
      <c r="N1" s="12" t="s">
        <v>419</v>
      </c>
      <c r="O1" s="12" t="s">
        <v>386</v>
      </c>
      <c r="P1" s="12" t="s">
        <v>387</v>
      </c>
    </row>
    <row r="2" spans="1:16" ht="15.6" x14ac:dyDescent="0.3">
      <c r="A2" s="56"/>
      <c r="B2" s="57">
        <v>15107</v>
      </c>
      <c r="C2" s="48" t="s">
        <v>153</v>
      </c>
      <c r="D2" s="48" t="s">
        <v>154</v>
      </c>
      <c r="E2" s="49"/>
      <c r="F2" s="47"/>
      <c r="G2" s="47"/>
      <c r="H2" s="47"/>
      <c r="I2" s="47"/>
      <c r="J2" s="47"/>
      <c r="K2" s="47">
        <v>5</v>
      </c>
      <c r="L2" s="47">
        <f>855+80</f>
        <v>935</v>
      </c>
      <c r="M2" s="50">
        <v>1032000</v>
      </c>
      <c r="N2" s="51">
        <v>11</v>
      </c>
      <c r="O2" s="50"/>
      <c r="P2" s="50"/>
    </row>
    <row r="3" spans="1:16" ht="15.6" x14ac:dyDescent="0.3">
      <c r="A3" s="56"/>
      <c r="B3" s="58">
        <v>28433</v>
      </c>
      <c r="C3" s="48" t="s">
        <v>353</v>
      </c>
      <c r="D3" s="48" t="s">
        <v>354</v>
      </c>
      <c r="E3" s="49"/>
      <c r="F3" s="47"/>
      <c r="G3" s="47"/>
      <c r="H3" s="47"/>
      <c r="I3" s="47"/>
      <c r="J3" s="47"/>
      <c r="K3" s="47">
        <v>4</v>
      </c>
      <c r="L3" s="47">
        <v>800</v>
      </c>
      <c r="M3" s="50">
        <v>300000</v>
      </c>
      <c r="N3" s="51">
        <v>9</v>
      </c>
      <c r="O3" s="50"/>
      <c r="P3" s="50"/>
    </row>
    <row r="4" spans="1:16" ht="15.6" x14ac:dyDescent="0.3">
      <c r="A4" s="56"/>
      <c r="B4" s="57">
        <v>16552</v>
      </c>
      <c r="C4" s="48" t="s">
        <v>272</v>
      </c>
      <c r="D4" s="48" t="s">
        <v>273</v>
      </c>
      <c r="E4" s="49"/>
      <c r="F4" s="47"/>
      <c r="G4" s="47"/>
      <c r="H4" s="47"/>
      <c r="I4" s="47"/>
      <c r="J4" s="47"/>
      <c r="K4" s="47"/>
      <c r="L4" s="47">
        <v>750</v>
      </c>
      <c r="M4" s="50">
        <v>410000</v>
      </c>
      <c r="N4" s="51">
        <v>10</v>
      </c>
      <c r="O4" s="50"/>
      <c r="P4" s="50"/>
    </row>
    <row r="5" spans="1:16" ht="15.6" x14ac:dyDescent="0.3">
      <c r="A5" s="56">
        <v>46137</v>
      </c>
      <c r="B5" s="57">
        <v>4080</v>
      </c>
      <c r="C5" s="48" t="s">
        <v>191</v>
      </c>
      <c r="D5" s="48" t="s">
        <v>106</v>
      </c>
      <c r="E5" s="49"/>
      <c r="F5" s="47"/>
      <c r="G5" s="47"/>
      <c r="H5" s="47"/>
      <c r="I5" s="47"/>
      <c r="J5" s="47"/>
      <c r="K5" s="47">
        <v>3</v>
      </c>
      <c r="L5" s="47">
        <v>710</v>
      </c>
      <c r="M5" s="50">
        <v>277000</v>
      </c>
      <c r="N5" s="51">
        <v>10</v>
      </c>
      <c r="O5" s="50"/>
      <c r="P5" s="50"/>
    </row>
    <row r="6" spans="1:16" ht="15.6" x14ac:dyDescent="0.3">
      <c r="A6" s="56"/>
      <c r="B6" s="57">
        <v>30087</v>
      </c>
      <c r="C6" s="48" t="s">
        <v>149</v>
      </c>
      <c r="D6" s="48" t="s">
        <v>150</v>
      </c>
      <c r="E6" s="49"/>
      <c r="F6" s="47"/>
      <c r="G6" s="47"/>
      <c r="H6" s="47"/>
      <c r="I6" s="47"/>
      <c r="J6" s="47"/>
      <c r="K6" s="47">
        <v>4</v>
      </c>
      <c r="L6" s="47">
        <f>690+70</f>
        <v>760</v>
      </c>
      <c r="M6" s="50">
        <v>270000</v>
      </c>
      <c r="N6" s="51">
        <v>9</v>
      </c>
      <c r="O6" s="50"/>
      <c r="P6" s="50"/>
    </row>
    <row r="7" spans="1:16" ht="15.6" x14ac:dyDescent="0.3">
      <c r="A7" s="56"/>
      <c r="B7" s="57">
        <v>8473</v>
      </c>
      <c r="C7" s="48" t="s">
        <v>58</v>
      </c>
      <c r="D7" s="48" t="s">
        <v>59</v>
      </c>
      <c r="E7" s="49"/>
      <c r="F7" s="47"/>
      <c r="G7" s="47"/>
      <c r="H7" s="47"/>
      <c r="I7" s="47"/>
      <c r="J7" s="47"/>
      <c r="K7" s="47"/>
      <c r="L7" s="47">
        <f>675+50</f>
        <v>725</v>
      </c>
      <c r="M7" s="50">
        <v>340000</v>
      </c>
      <c r="N7" s="51">
        <v>11</v>
      </c>
      <c r="O7" s="50"/>
      <c r="P7" s="50"/>
    </row>
    <row r="8" spans="1:16" ht="15.6" x14ac:dyDescent="0.3">
      <c r="A8" s="56"/>
      <c r="B8" s="57">
        <v>30572</v>
      </c>
      <c r="C8" s="48" t="s">
        <v>225</v>
      </c>
      <c r="D8" s="48" t="s">
        <v>226</v>
      </c>
      <c r="E8" s="49"/>
      <c r="F8" s="47"/>
      <c r="G8" s="47"/>
      <c r="H8" s="47"/>
      <c r="I8" s="47"/>
      <c r="J8" s="47"/>
      <c r="K8" s="47"/>
      <c r="L8" s="47">
        <v>670</v>
      </c>
      <c r="M8" s="50"/>
      <c r="N8" s="51">
        <v>8</v>
      </c>
      <c r="O8" s="50"/>
      <c r="P8" s="50"/>
    </row>
    <row r="9" spans="1:16" ht="15.6" x14ac:dyDescent="0.3">
      <c r="A9" s="56"/>
      <c r="B9" s="57">
        <v>12724</v>
      </c>
      <c r="C9" s="48" t="s">
        <v>460</v>
      </c>
      <c r="D9" s="48" t="s">
        <v>246</v>
      </c>
      <c r="E9" s="49"/>
      <c r="F9" s="47"/>
      <c r="G9" s="47"/>
      <c r="H9" s="47"/>
      <c r="I9" s="47"/>
      <c r="J9" s="47"/>
      <c r="K9" s="47"/>
      <c r="L9" s="47">
        <f>665+85</f>
        <v>750</v>
      </c>
      <c r="M9" s="50">
        <f>250000+80000</f>
        <v>330000</v>
      </c>
      <c r="N9" s="51">
        <v>10</v>
      </c>
      <c r="O9" s="50"/>
      <c r="P9" s="50"/>
    </row>
    <row r="10" spans="1:16" ht="15.6" x14ac:dyDescent="0.3">
      <c r="A10" s="56"/>
      <c r="B10" s="57">
        <v>24140</v>
      </c>
      <c r="C10" s="48" t="s">
        <v>363</v>
      </c>
      <c r="D10" s="48" t="s">
        <v>119</v>
      </c>
      <c r="E10" s="49"/>
      <c r="F10" s="47"/>
      <c r="G10" s="47"/>
      <c r="H10" s="47"/>
      <c r="I10" s="47"/>
      <c r="J10" s="47"/>
      <c r="K10" s="47"/>
      <c r="L10" s="52">
        <f>665+70</f>
        <v>735</v>
      </c>
      <c r="M10" s="50">
        <v>620000</v>
      </c>
      <c r="N10" s="51">
        <v>10</v>
      </c>
      <c r="O10" s="50"/>
      <c r="P10" s="50"/>
    </row>
    <row r="11" spans="1:16" s="43" customFormat="1" ht="15.6" x14ac:dyDescent="0.3">
      <c r="A11" s="59"/>
      <c r="B11" s="60">
        <v>18908</v>
      </c>
      <c r="C11" s="53" t="s">
        <v>190</v>
      </c>
      <c r="D11" s="53" t="s">
        <v>88</v>
      </c>
      <c r="E11" s="49"/>
      <c r="F11" s="52"/>
      <c r="G11" s="52"/>
      <c r="H11" s="52"/>
      <c r="I11" s="52"/>
      <c r="J11" s="52"/>
      <c r="K11" s="52">
        <v>2</v>
      </c>
      <c r="L11" s="47">
        <v>655</v>
      </c>
      <c r="M11" s="54">
        <v>807000</v>
      </c>
      <c r="N11" s="51">
        <v>8</v>
      </c>
      <c r="O11" s="54"/>
      <c r="P11" s="54"/>
    </row>
    <row r="12" spans="1:16" ht="15.6" x14ac:dyDescent="0.3">
      <c r="A12" s="56"/>
      <c r="B12" s="57">
        <v>28225</v>
      </c>
      <c r="C12" s="48" t="s">
        <v>222</v>
      </c>
      <c r="D12" s="48" t="s">
        <v>233</v>
      </c>
      <c r="E12" s="49"/>
      <c r="F12" s="47"/>
      <c r="G12" s="47"/>
      <c r="H12" s="47"/>
      <c r="I12" s="47"/>
      <c r="J12" s="47"/>
      <c r="K12" s="47"/>
      <c r="L12" s="52">
        <v>620</v>
      </c>
      <c r="M12" s="50">
        <v>200000</v>
      </c>
      <c r="N12" s="51">
        <v>6</v>
      </c>
      <c r="O12" s="50"/>
      <c r="P12" s="50"/>
    </row>
    <row r="13" spans="1:16" s="43" customFormat="1" ht="15.6" x14ac:dyDescent="0.3">
      <c r="A13" s="59"/>
      <c r="B13" s="61">
        <v>21865</v>
      </c>
      <c r="C13" s="53" t="s">
        <v>107</v>
      </c>
      <c r="D13" s="53" t="s">
        <v>108</v>
      </c>
      <c r="E13" s="49"/>
      <c r="F13" s="52"/>
      <c r="G13" s="52"/>
      <c r="H13" s="52"/>
      <c r="I13" s="52"/>
      <c r="J13" s="52"/>
      <c r="K13" s="52">
        <v>5</v>
      </c>
      <c r="L13" s="52">
        <f>620+50</f>
        <v>670</v>
      </c>
      <c r="M13" s="54">
        <v>160000</v>
      </c>
      <c r="N13" s="51">
        <v>10</v>
      </c>
      <c r="O13" s="54"/>
      <c r="P13" s="54"/>
    </row>
    <row r="14" spans="1:16" ht="15.6" x14ac:dyDescent="0.3">
      <c r="A14" s="56"/>
      <c r="B14" s="57">
        <v>9530</v>
      </c>
      <c r="C14" s="48" t="s">
        <v>461</v>
      </c>
      <c r="D14" s="48" t="s">
        <v>284</v>
      </c>
      <c r="E14" s="49"/>
      <c r="F14" s="47"/>
      <c r="G14" s="47"/>
      <c r="H14" s="47"/>
      <c r="I14" s="47"/>
      <c r="J14" s="47"/>
      <c r="K14" s="47"/>
      <c r="L14" s="47">
        <f>610+65</f>
        <v>675</v>
      </c>
      <c r="M14" s="50">
        <v>100000</v>
      </c>
      <c r="N14" s="51">
        <v>8</v>
      </c>
      <c r="O14" s="50"/>
      <c r="P14" s="50"/>
    </row>
    <row r="15" spans="1:16" ht="15.6" x14ac:dyDescent="0.3">
      <c r="A15" s="56"/>
      <c r="B15" s="57">
        <v>18411</v>
      </c>
      <c r="C15" s="48" t="s">
        <v>28</v>
      </c>
      <c r="D15" s="48" t="s">
        <v>29</v>
      </c>
      <c r="E15" s="49"/>
      <c r="F15" s="47"/>
      <c r="G15" s="47"/>
      <c r="H15" s="47"/>
      <c r="I15" s="47"/>
      <c r="J15" s="47"/>
      <c r="K15" s="47">
        <v>4</v>
      </c>
      <c r="L15" s="47">
        <v>605</v>
      </c>
      <c r="M15" s="50">
        <f>270000+140000</f>
        <v>410000</v>
      </c>
      <c r="N15" s="51">
        <v>9</v>
      </c>
      <c r="O15" s="50"/>
      <c r="P15" s="50"/>
    </row>
    <row r="16" spans="1:16" ht="15.6" x14ac:dyDescent="0.3">
      <c r="A16" s="56"/>
      <c r="B16" s="57">
        <v>16260</v>
      </c>
      <c r="C16" s="48" t="s">
        <v>270</v>
      </c>
      <c r="D16" s="48" t="s">
        <v>271</v>
      </c>
      <c r="E16" s="49"/>
      <c r="F16" s="47"/>
      <c r="G16" s="47"/>
      <c r="H16" s="47"/>
      <c r="I16" s="47"/>
      <c r="J16" s="47"/>
      <c r="K16" s="47">
        <v>5</v>
      </c>
      <c r="L16" s="47">
        <f>565+90</f>
        <v>655</v>
      </c>
      <c r="M16" s="50">
        <v>580000</v>
      </c>
      <c r="N16" s="51">
        <v>7</v>
      </c>
      <c r="O16" s="50"/>
      <c r="P16" s="50">
        <v>2050000</v>
      </c>
    </row>
    <row r="17" spans="1:16" ht="15.6" x14ac:dyDescent="0.3">
      <c r="A17" s="56"/>
      <c r="B17" s="47">
        <v>24283</v>
      </c>
      <c r="C17" s="47" t="s">
        <v>287</v>
      </c>
      <c r="D17" s="47" t="s">
        <v>288</v>
      </c>
      <c r="E17" s="47"/>
      <c r="F17" s="47"/>
      <c r="G17" s="47"/>
      <c r="H17" s="47"/>
      <c r="I17" s="47"/>
      <c r="J17" s="47"/>
      <c r="K17" s="47">
        <v>1</v>
      </c>
      <c r="L17" s="47">
        <f>535+85</f>
        <v>620</v>
      </c>
      <c r="M17" s="50">
        <v>80000</v>
      </c>
      <c r="N17" s="51">
        <v>9</v>
      </c>
      <c r="O17" s="50"/>
      <c r="P17" s="50"/>
    </row>
    <row r="18" spans="1:16" ht="15.6" x14ac:dyDescent="0.3">
      <c r="A18" s="56"/>
      <c r="B18" s="57">
        <v>7891</v>
      </c>
      <c r="C18" s="48" t="s">
        <v>220</v>
      </c>
      <c r="D18" s="48" t="s">
        <v>221</v>
      </c>
      <c r="E18" s="49"/>
      <c r="F18" s="47"/>
      <c r="G18" s="47"/>
      <c r="H18" s="47"/>
      <c r="I18" s="47"/>
      <c r="J18" s="47"/>
      <c r="K18" s="47"/>
      <c r="L18" s="47">
        <f>525+50</f>
        <v>575</v>
      </c>
      <c r="M18" s="50">
        <v>120000</v>
      </c>
      <c r="N18" s="51">
        <v>6</v>
      </c>
      <c r="O18" s="50"/>
      <c r="P18" s="50"/>
    </row>
    <row r="19" spans="1:16" ht="15.6" x14ac:dyDescent="0.3">
      <c r="A19" s="56"/>
      <c r="B19" s="47">
        <v>27233</v>
      </c>
      <c r="C19" s="47" t="s">
        <v>193</v>
      </c>
      <c r="D19" s="47" t="s">
        <v>194</v>
      </c>
      <c r="E19" s="47"/>
      <c r="F19" s="47"/>
      <c r="G19" s="47"/>
      <c r="H19" s="47"/>
      <c r="I19" s="47"/>
      <c r="J19" s="47"/>
      <c r="K19" s="47"/>
      <c r="L19" s="47">
        <f>495+65</f>
        <v>560</v>
      </c>
      <c r="M19" s="50">
        <v>430000</v>
      </c>
      <c r="N19" s="51">
        <v>8</v>
      </c>
      <c r="O19" s="50"/>
      <c r="P19" s="50"/>
    </row>
    <row r="20" spans="1:16" ht="15.6" x14ac:dyDescent="0.3">
      <c r="A20" s="56"/>
      <c r="B20" s="47">
        <v>9446</v>
      </c>
      <c r="C20" s="47" t="s">
        <v>285</v>
      </c>
      <c r="D20" s="47" t="s">
        <v>286</v>
      </c>
      <c r="E20" s="47"/>
      <c r="F20" s="47"/>
      <c r="G20" s="47"/>
      <c r="H20" s="47"/>
      <c r="I20" s="47"/>
      <c r="J20" s="47"/>
      <c r="K20" s="47"/>
      <c r="L20" s="47">
        <f>495+50</f>
        <v>545</v>
      </c>
      <c r="M20" s="50">
        <v>420000</v>
      </c>
      <c r="N20" s="51">
        <v>7</v>
      </c>
      <c r="O20" s="50"/>
      <c r="P20" s="50"/>
    </row>
    <row r="21" spans="1:16" ht="15.6" x14ac:dyDescent="0.3">
      <c r="A21" s="56"/>
      <c r="B21" s="57">
        <v>13625</v>
      </c>
      <c r="C21" s="48" t="s">
        <v>222</v>
      </c>
      <c r="D21" s="48" t="s">
        <v>223</v>
      </c>
      <c r="E21" s="49"/>
      <c r="F21" s="47"/>
      <c r="G21" s="47"/>
      <c r="H21" s="47"/>
      <c r="I21" s="47"/>
      <c r="J21" s="47"/>
      <c r="K21" s="47"/>
      <c r="L21" s="47">
        <v>445</v>
      </c>
      <c r="M21" s="50">
        <v>667000</v>
      </c>
      <c r="N21" s="51">
        <v>4</v>
      </c>
      <c r="O21" s="50"/>
      <c r="P21" s="50"/>
    </row>
    <row r="22" spans="1:16" ht="15.6" x14ac:dyDescent="0.3">
      <c r="A22" s="56"/>
      <c r="B22" s="47">
        <v>22156</v>
      </c>
      <c r="C22" s="47" t="s">
        <v>231</v>
      </c>
      <c r="D22" s="47" t="s">
        <v>232</v>
      </c>
      <c r="E22" s="47"/>
      <c r="F22" s="47"/>
      <c r="G22" s="47"/>
      <c r="H22" s="47"/>
      <c r="I22" s="47"/>
      <c r="J22" s="47"/>
      <c r="K22" s="47"/>
      <c r="L22" s="47">
        <v>430</v>
      </c>
      <c r="M22" s="50">
        <v>120000</v>
      </c>
      <c r="N22" s="51">
        <v>8</v>
      </c>
      <c r="O22" s="50"/>
      <c r="P22" s="50"/>
    </row>
    <row r="23" spans="1:16" ht="15.6" x14ac:dyDescent="0.3">
      <c r="A23" s="56"/>
      <c r="B23" s="62">
        <v>32142</v>
      </c>
      <c r="C23" s="48" t="s">
        <v>47</v>
      </c>
      <c r="D23" s="48" t="s">
        <v>48</v>
      </c>
      <c r="E23" s="49"/>
      <c r="F23" s="47"/>
      <c r="G23" s="47"/>
      <c r="H23" s="47"/>
      <c r="I23" s="47"/>
      <c r="J23" s="47"/>
      <c r="K23" s="47"/>
      <c r="L23" s="47">
        <v>475</v>
      </c>
      <c r="M23" s="50">
        <v>480000</v>
      </c>
      <c r="N23" s="51">
        <v>5</v>
      </c>
      <c r="O23" s="50"/>
      <c r="P23" s="50"/>
    </row>
    <row r="24" spans="1:16" ht="15.6" x14ac:dyDescent="0.3">
      <c r="A24" s="56"/>
      <c r="B24" s="57">
        <v>17043</v>
      </c>
      <c r="C24" s="48" t="s">
        <v>118</v>
      </c>
      <c r="D24" s="48" t="s">
        <v>119</v>
      </c>
      <c r="E24" s="49"/>
      <c r="F24" s="47"/>
      <c r="G24" s="47"/>
      <c r="H24" s="47"/>
      <c r="I24" s="47"/>
      <c r="J24" s="47"/>
      <c r="K24" s="47"/>
      <c r="L24" s="47">
        <v>400</v>
      </c>
      <c r="M24" s="50">
        <v>270000</v>
      </c>
      <c r="N24" s="51">
        <v>7</v>
      </c>
      <c r="O24" s="50"/>
      <c r="P24" s="50"/>
    </row>
    <row r="25" spans="1:16" ht="15.6" x14ac:dyDescent="0.3">
      <c r="A25" s="47"/>
      <c r="B25" s="47">
        <v>19187</v>
      </c>
      <c r="C25" s="47" t="s">
        <v>328</v>
      </c>
      <c r="D25" s="47" t="s">
        <v>200</v>
      </c>
      <c r="E25" s="47"/>
      <c r="F25" s="47"/>
      <c r="G25" s="47"/>
      <c r="H25" s="47"/>
      <c r="I25" s="47"/>
      <c r="J25" s="47"/>
      <c r="K25" s="47"/>
      <c r="L25" s="47">
        <v>395</v>
      </c>
      <c r="M25" s="50">
        <v>390000</v>
      </c>
      <c r="N25" s="51">
        <v>5</v>
      </c>
      <c r="O25" s="50"/>
      <c r="P25" s="50"/>
    </row>
    <row r="26" spans="1:16" ht="15.6" x14ac:dyDescent="0.3">
      <c r="A26" s="56"/>
      <c r="B26" s="57">
        <v>26953</v>
      </c>
      <c r="C26" s="48" t="s">
        <v>120</v>
      </c>
      <c r="D26" s="48" t="s">
        <v>121</v>
      </c>
      <c r="E26" s="49"/>
      <c r="F26" s="47"/>
      <c r="G26" s="47"/>
      <c r="H26" s="47"/>
      <c r="I26" s="47"/>
      <c r="J26" s="47"/>
      <c r="K26" s="47"/>
      <c r="L26" s="47">
        <v>485</v>
      </c>
      <c r="M26" s="50">
        <f>190000+220000</f>
        <v>410000</v>
      </c>
      <c r="N26" s="51">
        <v>8</v>
      </c>
      <c r="O26" s="50"/>
      <c r="P26" s="50"/>
    </row>
    <row r="27" spans="1:16" ht="15.6" x14ac:dyDescent="0.3">
      <c r="A27" s="56"/>
      <c r="B27" s="57">
        <v>27435</v>
      </c>
      <c r="C27" s="48" t="s">
        <v>151</v>
      </c>
      <c r="D27" s="48" t="s">
        <v>152</v>
      </c>
      <c r="E27" s="49"/>
      <c r="F27" s="47"/>
      <c r="G27" s="47"/>
      <c r="H27" s="47"/>
      <c r="I27" s="47"/>
      <c r="J27" s="47"/>
      <c r="K27" s="47">
        <v>1</v>
      </c>
      <c r="L27" s="47">
        <f>340+80</f>
        <v>420</v>
      </c>
      <c r="M27" s="50">
        <v>340000</v>
      </c>
      <c r="N27" s="51">
        <v>5</v>
      </c>
      <c r="O27" s="50"/>
      <c r="P27" s="50"/>
    </row>
    <row r="28" spans="1:16" ht="15.6" x14ac:dyDescent="0.3">
      <c r="A28" s="56"/>
      <c r="B28" s="57">
        <v>31818</v>
      </c>
      <c r="C28" s="48" t="s">
        <v>235</v>
      </c>
      <c r="D28" s="48" t="s">
        <v>236</v>
      </c>
      <c r="E28" s="49"/>
      <c r="F28" s="47"/>
      <c r="G28" s="47"/>
      <c r="H28" s="47"/>
      <c r="I28" s="47"/>
      <c r="J28" s="47"/>
      <c r="K28" s="47">
        <v>2</v>
      </c>
      <c r="L28" s="47">
        <v>285</v>
      </c>
      <c r="M28" s="50">
        <v>310000</v>
      </c>
      <c r="N28" s="51">
        <v>4</v>
      </c>
      <c r="O28" s="50"/>
      <c r="P28" s="50"/>
    </row>
    <row r="29" spans="1:16" ht="15.6" x14ac:dyDescent="0.3">
      <c r="A29" s="56"/>
      <c r="B29" s="47">
        <v>20941</v>
      </c>
      <c r="C29" s="47" t="s">
        <v>319</v>
      </c>
      <c r="D29" s="47" t="s">
        <v>320</v>
      </c>
      <c r="E29" s="47"/>
      <c r="F29" s="47"/>
      <c r="G29" s="47"/>
      <c r="H29" s="47"/>
      <c r="I29" s="47"/>
      <c r="J29" s="47"/>
      <c r="K29" s="47"/>
      <c r="L29" s="47">
        <v>255</v>
      </c>
      <c r="M29" s="50">
        <v>380000</v>
      </c>
      <c r="N29" s="51">
        <v>4</v>
      </c>
      <c r="O29" s="50"/>
      <c r="P29" s="50"/>
    </row>
    <row r="30" spans="1:16" ht="15.6" x14ac:dyDescent="0.3">
      <c r="A30" s="56"/>
      <c r="B30" s="58">
        <v>14084</v>
      </c>
      <c r="C30" s="48" t="s">
        <v>39</v>
      </c>
      <c r="D30" s="48" t="s">
        <v>40</v>
      </c>
      <c r="E30" s="49"/>
      <c r="F30" s="47"/>
      <c r="G30" s="47"/>
      <c r="H30" s="47"/>
      <c r="I30" s="47"/>
      <c r="J30" s="47"/>
      <c r="K30" s="47">
        <v>10</v>
      </c>
      <c r="L30" s="47">
        <v>240</v>
      </c>
      <c r="M30" s="50">
        <v>60000</v>
      </c>
      <c r="N30" s="51">
        <v>4</v>
      </c>
      <c r="O30" s="50"/>
      <c r="P30" s="50"/>
    </row>
    <row r="31" spans="1:16" ht="15.6" x14ac:dyDescent="0.3">
      <c r="A31" s="56"/>
      <c r="B31" s="57">
        <v>3936</v>
      </c>
      <c r="C31" s="48" t="s">
        <v>462</v>
      </c>
      <c r="D31" s="48" t="s">
        <v>463</v>
      </c>
      <c r="E31" s="49"/>
      <c r="F31" s="47"/>
      <c r="G31" s="47"/>
      <c r="H31" s="47"/>
      <c r="I31" s="47"/>
      <c r="J31" s="47"/>
      <c r="K31" s="47"/>
      <c r="L31" s="47">
        <f>220+50</f>
        <v>270</v>
      </c>
      <c r="M31" s="50"/>
      <c r="N31" s="51">
        <v>4</v>
      </c>
      <c r="O31" s="50"/>
      <c r="P31" s="50"/>
    </row>
    <row r="32" spans="1:16" ht="15.6" x14ac:dyDescent="0.3">
      <c r="A32" s="56"/>
      <c r="B32" s="57">
        <v>14715</v>
      </c>
      <c r="C32" s="48" t="s">
        <v>339</v>
      </c>
      <c r="D32" s="48" t="s">
        <v>340</v>
      </c>
      <c r="E32" s="49"/>
      <c r="F32" s="47"/>
      <c r="G32" s="47"/>
      <c r="H32" s="47"/>
      <c r="I32" s="47"/>
      <c r="J32" s="47"/>
      <c r="K32" s="47"/>
      <c r="L32" s="47">
        <v>215</v>
      </c>
      <c r="M32" s="50">
        <v>60000</v>
      </c>
      <c r="N32" s="51">
        <v>3</v>
      </c>
      <c r="O32" s="50"/>
      <c r="P32" s="50"/>
    </row>
    <row r="33" spans="1:16" ht="15.6" x14ac:dyDescent="0.3">
      <c r="A33" s="56"/>
      <c r="B33" s="57">
        <v>32182</v>
      </c>
      <c r="C33" s="48" t="s">
        <v>188</v>
      </c>
      <c r="D33" s="48" t="s">
        <v>189</v>
      </c>
      <c r="E33" s="49"/>
      <c r="F33" s="47"/>
      <c r="G33" s="47"/>
      <c r="H33" s="47"/>
      <c r="I33" s="47"/>
      <c r="J33" s="47"/>
      <c r="K33" s="47"/>
      <c r="L33" s="47">
        <v>210</v>
      </c>
      <c r="M33" s="50"/>
      <c r="N33" s="51">
        <v>3</v>
      </c>
      <c r="O33" s="50"/>
      <c r="P33" s="50"/>
    </row>
    <row r="34" spans="1:16" ht="15.6" x14ac:dyDescent="0.3">
      <c r="A34" s="56"/>
      <c r="B34" s="47">
        <v>30101</v>
      </c>
      <c r="C34" s="47" t="s">
        <v>341</v>
      </c>
      <c r="D34" s="47" t="s">
        <v>342</v>
      </c>
      <c r="E34" s="47"/>
      <c r="F34" s="47"/>
      <c r="G34" s="47"/>
      <c r="H34" s="47"/>
      <c r="I34" s="47"/>
      <c r="J34" s="47"/>
      <c r="K34" s="47">
        <v>1</v>
      </c>
      <c r="L34" s="47">
        <v>205</v>
      </c>
      <c r="M34" s="50">
        <v>60000</v>
      </c>
      <c r="N34" s="51">
        <v>3</v>
      </c>
      <c r="O34" s="50"/>
      <c r="P34" s="50"/>
    </row>
    <row r="35" spans="1:16" ht="15.6" x14ac:dyDescent="0.3">
      <c r="A35" s="56"/>
      <c r="B35" s="57">
        <v>33116</v>
      </c>
      <c r="C35" s="48" t="s">
        <v>195</v>
      </c>
      <c r="D35" s="48" t="s">
        <v>196</v>
      </c>
      <c r="E35" s="49"/>
      <c r="F35" s="47"/>
      <c r="G35" s="47"/>
      <c r="H35" s="47"/>
      <c r="I35" s="47"/>
      <c r="J35" s="47"/>
      <c r="K35" s="47"/>
      <c r="L35" s="47">
        <v>130</v>
      </c>
      <c r="M35" s="50">
        <v>167000</v>
      </c>
      <c r="N35" s="51">
        <v>2</v>
      </c>
      <c r="O35" s="50"/>
      <c r="P35" s="50"/>
    </row>
    <row r="36" spans="1:16" ht="15.6" x14ac:dyDescent="0.3">
      <c r="A36" s="56"/>
      <c r="B36" s="57">
        <v>28528</v>
      </c>
      <c r="C36" s="48" t="s">
        <v>173</v>
      </c>
      <c r="D36" s="48" t="s">
        <v>174</v>
      </c>
      <c r="E36" s="49"/>
      <c r="F36" s="47"/>
      <c r="G36" s="47"/>
      <c r="H36" s="47"/>
      <c r="I36" s="47"/>
      <c r="J36" s="47"/>
      <c r="K36" s="47">
        <v>1</v>
      </c>
      <c r="L36" s="47">
        <v>125</v>
      </c>
      <c r="M36" s="50">
        <v>60000</v>
      </c>
      <c r="N36" s="51">
        <v>2</v>
      </c>
      <c r="O36" s="50"/>
      <c r="P36" s="50"/>
    </row>
    <row r="37" spans="1:16" ht="15.6" x14ac:dyDescent="0.3">
      <c r="A37" s="56"/>
      <c r="B37" s="57">
        <v>31833</v>
      </c>
      <c r="C37" s="48" t="s">
        <v>140</v>
      </c>
      <c r="D37" s="48" t="s">
        <v>40</v>
      </c>
      <c r="E37" s="49"/>
      <c r="F37" s="47"/>
      <c r="G37" s="47"/>
      <c r="H37" s="47"/>
      <c r="I37" s="47"/>
      <c r="J37" s="47"/>
      <c r="K37" s="47"/>
      <c r="L37" s="47">
        <v>110</v>
      </c>
      <c r="M37" s="50"/>
      <c r="N37" s="51">
        <v>1</v>
      </c>
      <c r="O37" s="50"/>
      <c r="P37" s="50"/>
    </row>
    <row r="38" spans="1:16" ht="15.6" x14ac:dyDescent="0.3">
      <c r="A38" s="56"/>
      <c r="B38" s="57">
        <v>33476</v>
      </c>
      <c r="C38" s="48" t="s">
        <v>166</v>
      </c>
      <c r="D38" s="48" t="s">
        <v>167</v>
      </c>
      <c r="E38" s="49"/>
      <c r="F38" s="47"/>
      <c r="G38" s="47"/>
      <c r="H38" s="47"/>
      <c r="I38" s="47"/>
      <c r="J38" s="47"/>
      <c r="K38" s="47"/>
      <c r="L38" s="47">
        <v>110</v>
      </c>
      <c r="M38" s="50"/>
      <c r="N38" s="51">
        <v>1</v>
      </c>
      <c r="O38" s="50"/>
      <c r="P38" s="50"/>
    </row>
    <row r="39" spans="1:16" ht="15.6" x14ac:dyDescent="0.3">
      <c r="A39" s="56"/>
      <c r="B39" s="57">
        <v>14824</v>
      </c>
      <c r="C39" s="48" t="s">
        <v>364</v>
      </c>
      <c r="D39" s="48" t="s">
        <v>365</v>
      </c>
      <c r="E39" s="49"/>
      <c r="F39" s="47"/>
      <c r="G39" s="47"/>
      <c r="H39" s="47"/>
      <c r="I39" s="47"/>
      <c r="J39" s="47"/>
      <c r="K39" s="47"/>
      <c r="L39" s="47">
        <v>90</v>
      </c>
      <c r="M39" s="50">
        <v>130000</v>
      </c>
      <c r="N39" s="51">
        <v>1</v>
      </c>
      <c r="O39" s="50"/>
      <c r="P39" s="50"/>
    </row>
    <row r="40" spans="1:16" ht="15.6" x14ac:dyDescent="0.3">
      <c r="A40" s="56"/>
      <c r="B40" s="57">
        <v>22617</v>
      </c>
      <c r="C40" s="48" t="s">
        <v>326</v>
      </c>
      <c r="D40" s="48" t="s">
        <v>327</v>
      </c>
      <c r="E40" s="49"/>
      <c r="F40" s="47"/>
      <c r="G40" s="47"/>
      <c r="H40" s="47"/>
      <c r="I40" s="47"/>
      <c r="J40" s="47"/>
      <c r="K40" s="47"/>
      <c r="L40" s="47">
        <v>80</v>
      </c>
      <c r="M40" s="50">
        <v>30000</v>
      </c>
      <c r="N40" s="51">
        <v>1</v>
      </c>
      <c r="O40" s="50"/>
      <c r="P40" s="50"/>
    </row>
    <row r="41" spans="1:16" s="43" customFormat="1" ht="15.6" x14ac:dyDescent="0.3">
      <c r="A41" s="59"/>
      <c r="B41" s="63">
        <v>2193</v>
      </c>
      <c r="C41" s="53" t="s">
        <v>84</v>
      </c>
      <c r="D41" s="53" t="s">
        <v>88</v>
      </c>
      <c r="E41" s="49"/>
      <c r="F41" s="52"/>
      <c r="G41" s="52"/>
      <c r="H41" s="52"/>
      <c r="I41" s="52"/>
      <c r="J41" s="52"/>
      <c r="K41" s="52"/>
      <c r="L41" s="52">
        <v>80</v>
      </c>
      <c r="M41" s="54">
        <v>130000</v>
      </c>
      <c r="N41" s="51">
        <v>1</v>
      </c>
      <c r="O41" s="54"/>
      <c r="P41" s="54"/>
    </row>
    <row r="42" spans="1:16" s="43" customFormat="1" ht="15.6" x14ac:dyDescent="0.3">
      <c r="A42" s="59"/>
      <c r="B42" s="61">
        <v>34722</v>
      </c>
      <c r="C42" s="53" t="s">
        <v>464</v>
      </c>
      <c r="D42" s="53" t="s">
        <v>458</v>
      </c>
      <c r="E42" s="49"/>
      <c r="F42" s="52"/>
      <c r="G42" s="52"/>
      <c r="H42" s="52"/>
      <c r="I42" s="52"/>
      <c r="J42" s="52"/>
      <c r="K42" s="52"/>
      <c r="L42" s="52">
        <v>75</v>
      </c>
      <c r="M42" s="54">
        <v>85000</v>
      </c>
      <c r="N42" s="51">
        <v>1</v>
      </c>
      <c r="O42" s="54"/>
      <c r="P42" s="54"/>
    </row>
    <row r="43" spans="1:16" s="43" customFormat="1" ht="15.6" x14ac:dyDescent="0.3">
      <c r="A43" s="59"/>
      <c r="B43" s="61">
        <v>12531</v>
      </c>
      <c r="C43" s="53" t="s">
        <v>366</v>
      </c>
      <c r="D43" s="53" t="s">
        <v>367</v>
      </c>
      <c r="E43" s="49"/>
      <c r="F43" s="52"/>
      <c r="G43" s="52"/>
      <c r="H43" s="52"/>
      <c r="I43" s="52"/>
      <c r="J43" s="52"/>
      <c r="K43" s="52"/>
      <c r="L43" s="52">
        <v>75</v>
      </c>
      <c r="M43" s="54">
        <v>85000</v>
      </c>
      <c r="N43" s="51">
        <v>1</v>
      </c>
      <c r="O43" s="54"/>
      <c r="P43" s="54"/>
    </row>
    <row r="44" spans="1:16" s="43" customFormat="1" ht="15.6" x14ac:dyDescent="0.3">
      <c r="A44" s="59"/>
      <c r="B44" s="52">
        <v>2329</v>
      </c>
      <c r="C44" s="52" t="s">
        <v>465</v>
      </c>
      <c r="D44" s="52" t="s">
        <v>466</v>
      </c>
      <c r="E44" s="52"/>
      <c r="F44" s="52"/>
      <c r="G44" s="52"/>
      <c r="H44" s="52"/>
      <c r="I44" s="52"/>
      <c r="J44" s="52"/>
      <c r="K44" s="52"/>
      <c r="L44" s="52">
        <v>70</v>
      </c>
      <c r="M44" s="54"/>
      <c r="N44" s="51">
        <v>1</v>
      </c>
      <c r="O44" s="54"/>
      <c r="P44" s="54"/>
    </row>
    <row r="45" spans="1:16" s="43" customFormat="1" ht="15.6" x14ac:dyDescent="0.3">
      <c r="A45" s="59"/>
      <c r="B45" s="61">
        <v>18861</v>
      </c>
      <c r="C45" s="53" t="s">
        <v>351</v>
      </c>
      <c r="D45" s="53" t="s">
        <v>352</v>
      </c>
      <c r="E45" s="49"/>
      <c r="F45" s="52"/>
      <c r="G45" s="52"/>
      <c r="H45" s="52"/>
      <c r="I45" s="52"/>
      <c r="J45" s="52"/>
      <c r="K45" s="52">
        <v>1</v>
      </c>
      <c r="L45" s="52">
        <v>70</v>
      </c>
      <c r="M45" s="54"/>
      <c r="N45" s="51">
        <v>2</v>
      </c>
      <c r="O45" s="54"/>
      <c r="P45" s="54"/>
    </row>
    <row r="46" spans="1:16" s="43" customFormat="1" ht="15.6" x14ac:dyDescent="0.3">
      <c r="A46" s="59"/>
      <c r="B46" s="61">
        <v>1396</v>
      </c>
      <c r="C46" s="53" t="s">
        <v>66</v>
      </c>
      <c r="D46" s="53" t="s">
        <v>67</v>
      </c>
      <c r="E46" s="49"/>
      <c r="F46" s="52"/>
      <c r="G46" s="52"/>
      <c r="H46" s="52"/>
      <c r="I46" s="52"/>
      <c r="J46" s="52"/>
      <c r="K46" s="52"/>
      <c r="L46" s="52">
        <v>65</v>
      </c>
      <c r="M46" s="54"/>
      <c r="N46" s="51">
        <v>1</v>
      </c>
      <c r="O46" s="54"/>
      <c r="P46" s="54"/>
    </row>
    <row r="47" spans="1:16" s="43" customFormat="1" ht="15.6" x14ac:dyDescent="0.3">
      <c r="A47" s="59"/>
      <c r="B47" s="61">
        <v>351</v>
      </c>
      <c r="C47" s="53" t="s">
        <v>155</v>
      </c>
      <c r="D47" s="53" t="s">
        <v>156</v>
      </c>
      <c r="E47" s="49"/>
      <c r="F47" s="52"/>
      <c r="G47" s="52"/>
      <c r="H47" s="52"/>
      <c r="I47" s="52"/>
      <c r="J47" s="52"/>
      <c r="K47" s="52"/>
      <c r="L47" s="52">
        <v>65</v>
      </c>
      <c r="M47" s="54"/>
      <c r="N47" s="51">
        <v>1</v>
      </c>
      <c r="O47" s="54"/>
      <c r="P47" s="54"/>
    </row>
    <row r="48" spans="1:16" s="43" customFormat="1" ht="15.6" x14ac:dyDescent="0.3">
      <c r="A48" s="59"/>
      <c r="B48" s="61">
        <v>17697</v>
      </c>
      <c r="C48" s="53" t="s">
        <v>84</v>
      </c>
      <c r="D48" s="53" t="s">
        <v>196</v>
      </c>
      <c r="E48" s="49"/>
      <c r="F48" s="52"/>
      <c r="G48" s="52"/>
      <c r="H48" s="52"/>
      <c r="I48" s="52"/>
      <c r="J48" s="52"/>
      <c r="K48" s="52"/>
      <c r="L48" s="52">
        <v>60</v>
      </c>
      <c r="M48" s="54"/>
      <c r="N48" s="51">
        <v>1</v>
      </c>
      <c r="O48" s="54"/>
      <c r="P48" s="54"/>
    </row>
    <row r="49" spans="1:16" s="43" customFormat="1" ht="15.6" x14ac:dyDescent="0.3">
      <c r="A49" s="59"/>
      <c r="B49" s="61">
        <v>20886</v>
      </c>
      <c r="C49" s="53" t="s">
        <v>258</v>
      </c>
      <c r="D49" s="53" t="s">
        <v>250</v>
      </c>
      <c r="E49" s="49"/>
      <c r="F49" s="52"/>
      <c r="G49" s="52"/>
      <c r="H49" s="52"/>
      <c r="I49" s="52"/>
      <c r="J49" s="52"/>
      <c r="K49" s="52">
        <v>1</v>
      </c>
      <c r="L49" s="52">
        <v>50</v>
      </c>
      <c r="M49" s="54"/>
      <c r="N49" s="51">
        <v>1</v>
      </c>
      <c r="O49" s="54"/>
      <c r="P49" s="54"/>
    </row>
    <row r="50" spans="1:16" s="43" customFormat="1" ht="15.6" x14ac:dyDescent="0.3">
      <c r="A50" s="59"/>
      <c r="B50" s="61">
        <v>666666</v>
      </c>
      <c r="C50" s="53" t="s">
        <v>467</v>
      </c>
      <c r="D50" s="53" t="s">
        <v>161</v>
      </c>
      <c r="E50" s="49"/>
      <c r="F50" s="52"/>
      <c r="G50" s="52"/>
      <c r="H50" s="52"/>
      <c r="I50" s="52"/>
      <c r="J50" s="52"/>
      <c r="K50" s="52"/>
      <c r="L50" s="52">
        <v>35</v>
      </c>
      <c r="M50" s="54"/>
      <c r="N50" s="51">
        <v>1</v>
      </c>
      <c r="O50" s="54"/>
      <c r="P50" s="54"/>
    </row>
    <row r="51" spans="1:16" s="43" customFormat="1" ht="15.6" x14ac:dyDescent="0.3">
      <c r="A51" s="59"/>
      <c r="B51" s="60">
        <v>666667</v>
      </c>
      <c r="C51" s="55" t="s">
        <v>468</v>
      </c>
      <c r="D51" s="55"/>
      <c r="E51" s="49"/>
      <c r="F51" s="52"/>
      <c r="G51" s="52"/>
      <c r="H51" s="52"/>
      <c r="I51" s="52"/>
      <c r="J51" s="52"/>
      <c r="K51" s="52"/>
      <c r="L51" s="52">
        <v>30</v>
      </c>
      <c r="M51" s="54"/>
      <c r="N51" s="51">
        <v>1</v>
      </c>
      <c r="O51" s="54"/>
      <c r="P51" s="54"/>
    </row>
    <row r="52" spans="1:16" s="43" customFormat="1" ht="15.6" x14ac:dyDescent="0.3">
      <c r="A52" s="59">
        <v>46137</v>
      </c>
      <c r="B52" s="61"/>
      <c r="C52" s="53" t="s">
        <v>469</v>
      </c>
      <c r="D52" s="53" t="s">
        <v>470</v>
      </c>
      <c r="E52" s="49"/>
      <c r="F52" s="52"/>
      <c r="G52" s="52"/>
      <c r="H52" s="52"/>
      <c r="I52" s="52"/>
      <c r="J52" s="52"/>
      <c r="K52" s="52"/>
      <c r="L52" s="52">
        <v>95</v>
      </c>
      <c r="M52" s="54">
        <v>180000</v>
      </c>
      <c r="N52" s="51">
        <v>1</v>
      </c>
      <c r="O52" s="54"/>
      <c r="P52" s="54"/>
    </row>
    <row r="53" spans="1:16" s="43" customFormat="1" ht="15.6" x14ac:dyDescent="0.3">
      <c r="A53" s="59">
        <v>46151</v>
      </c>
      <c r="B53" s="60">
        <v>18908</v>
      </c>
      <c r="C53" s="53" t="s">
        <v>190</v>
      </c>
      <c r="D53" s="53" t="s">
        <v>88</v>
      </c>
      <c r="E53" s="49"/>
      <c r="F53" s="52"/>
      <c r="G53" s="52"/>
      <c r="H53" s="52"/>
      <c r="I53" s="52"/>
      <c r="J53" s="52"/>
      <c r="K53" s="52"/>
      <c r="L53" s="52">
        <v>95</v>
      </c>
      <c r="M53" s="54"/>
      <c r="N53" s="51">
        <v>1</v>
      </c>
      <c r="O53" s="54"/>
      <c r="P53" s="54"/>
    </row>
    <row r="54" spans="1:16" s="43" customFormat="1" ht="15.6" x14ac:dyDescent="0.3">
      <c r="A54" s="59">
        <v>46151</v>
      </c>
      <c r="B54" s="57">
        <v>15107</v>
      </c>
      <c r="C54" s="48" t="s">
        <v>153</v>
      </c>
      <c r="D54" s="48" t="s">
        <v>154</v>
      </c>
      <c r="E54" s="52"/>
      <c r="F54" s="52"/>
      <c r="G54" s="52"/>
      <c r="H54" s="52"/>
      <c r="I54" s="52"/>
      <c r="J54" s="52"/>
      <c r="K54" s="52"/>
      <c r="L54" s="52">
        <v>65</v>
      </c>
      <c r="M54" s="54"/>
      <c r="N54" s="51">
        <v>1</v>
      </c>
      <c r="O54" s="54"/>
      <c r="P54" s="54">
        <v>250000</v>
      </c>
    </row>
    <row r="55" spans="1:16" s="43" customFormat="1" ht="15.6" x14ac:dyDescent="0.3">
      <c r="A55" s="59">
        <v>46151</v>
      </c>
      <c r="B55" s="57">
        <v>16260</v>
      </c>
      <c r="C55" s="48" t="s">
        <v>270</v>
      </c>
      <c r="D55" s="48" t="s">
        <v>271</v>
      </c>
      <c r="E55" s="49"/>
      <c r="F55" s="52"/>
      <c r="G55" s="52"/>
      <c r="H55" s="52"/>
      <c r="I55" s="52"/>
      <c r="J55" s="52"/>
      <c r="K55" s="52"/>
      <c r="L55" s="52">
        <v>90</v>
      </c>
      <c r="M55" s="54"/>
      <c r="N55" s="51">
        <v>1</v>
      </c>
      <c r="O55" s="54"/>
      <c r="P55" s="54"/>
    </row>
    <row r="56" spans="1:16" s="43" customFormat="1" ht="15.6" x14ac:dyDescent="0.3">
      <c r="A56" s="59">
        <v>46151</v>
      </c>
      <c r="B56" s="61">
        <v>21865</v>
      </c>
      <c r="C56" s="53" t="s">
        <v>107</v>
      </c>
      <c r="D56" s="53" t="s">
        <v>108</v>
      </c>
      <c r="E56" s="49"/>
      <c r="F56" s="52"/>
      <c r="G56" s="52"/>
      <c r="H56" s="52"/>
      <c r="I56" s="52"/>
      <c r="J56" s="52"/>
      <c r="K56" s="52"/>
      <c r="L56" s="52">
        <v>95</v>
      </c>
      <c r="M56" s="54"/>
      <c r="N56" s="51">
        <v>1</v>
      </c>
      <c r="O56" s="54"/>
      <c r="P56" s="54"/>
    </row>
    <row r="57" spans="1:16" s="43" customFormat="1" ht="15.6" x14ac:dyDescent="0.3">
      <c r="A57" s="59">
        <v>46151</v>
      </c>
      <c r="B57" s="47">
        <v>22156</v>
      </c>
      <c r="C57" s="47" t="s">
        <v>231</v>
      </c>
      <c r="D57" s="47" t="s">
        <v>232</v>
      </c>
      <c r="E57" s="49"/>
      <c r="F57" s="52"/>
      <c r="G57" s="52"/>
      <c r="H57" s="52"/>
      <c r="I57" s="52"/>
      <c r="J57" s="52"/>
      <c r="K57" s="52"/>
      <c r="L57" s="52">
        <v>60</v>
      </c>
      <c r="M57" s="54"/>
      <c r="N57" s="51">
        <v>1</v>
      </c>
      <c r="O57" s="54"/>
      <c r="P57" s="54"/>
    </row>
    <row r="58" spans="1:16" s="43" customFormat="1" ht="15.6" x14ac:dyDescent="0.3">
      <c r="A58" s="59">
        <v>46151</v>
      </c>
      <c r="B58" s="57">
        <v>24140</v>
      </c>
      <c r="C58" s="48" t="s">
        <v>363</v>
      </c>
      <c r="D58" s="48" t="s">
        <v>119</v>
      </c>
      <c r="E58" s="49"/>
      <c r="F58" s="52"/>
      <c r="G58" s="52"/>
      <c r="H58" s="52"/>
      <c r="I58" s="52"/>
      <c r="J58" s="52"/>
      <c r="K58" s="52"/>
      <c r="L58" s="52">
        <v>75</v>
      </c>
      <c r="M58" s="54"/>
      <c r="N58" s="51">
        <v>1</v>
      </c>
      <c r="O58" s="54"/>
      <c r="P58" s="54"/>
    </row>
    <row r="59" spans="1:16" s="43" customFormat="1" ht="15.6" x14ac:dyDescent="0.3">
      <c r="A59" s="59">
        <v>46151</v>
      </c>
      <c r="B59" s="57">
        <v>3936</v>
      </c>
      <c r="C59" s="48" t="s">
        <v>462</v>
      </c>
      <c r="D59" s="48" t="s">
        <v>463</v>
      </c>
      <c r="E59" s="49"/>
      <c r="F59" s="52"/>
      <c r="G59" s="52"/>
      <c r="H59" s="52"/>
      <c r="I59" s="52"/>
      <c r="J59" s="52"/>
      <c r="K59" s="52"/>
      <c r="L59" s="52">
        <v>80</v>
      </c>
      <c r="M59" s="54"/>
      <c r="N59" s="51">
        <v>1</v>
      </c>
      <c r="O59" s="54"/>
      <c r="P59" s="54"/>
    </row>
    <row r="60" spans="1:16" s="43" customFormat="1" ht="15.6" x14ac:dyDescent="0.3">
      <c r="A60" s="59">
        <v>46151</v>
      </c>
      <c r="B60" s="57">
        <v>16552</v>
      </c>
      <c r="C60" s="48" t="s">
        <v>272</v>
      </c>
      <c r="D60" s="48" t="s">
        <v>273</v>
      </c>
      <c r="E60" s="49"/>
      <c r="F60" s="52"/>
      <c r="G60" s="52"/>
      <c r="H60" s="52"/>
      <c r="I60" s="52"/>
      <c r="J60" s="52"/>
      <c r="K60" s="52"/>
      <c r="L60" s="52">
        <v>95</v>
      </c>
      <c r="M60" s="54"/>
      <c r="N60" s="51">
        <v>1</v>
      </c>
      <c r="O60" s="54"/>
      <c r="P60" s="54"/>
    </row>
    <row r="61" spans="1:16" s="43" customFormat="1" ht="15.6" x14ac:dyDescent="0.3">
      <c r="A61" s="59">
        <v>46151</v>
      </c>
      <c r="B61" s="57">
        <v>26953</v>
      </c>
      <c r="C61" s="48" t="s">
        <v>120</v>
      </c>
      <c r="D61" s="48" t="s">
        <v>121</v>
      </c>
      <c r="E61" s="49"/>
      <c r="F61" s="52"/>
      <c r="G61" s="52"/>
      <c r="H61" s="52"/>
      <c r="I61" s="52"/>
      <c r="J61" s="52"/>
      <c r="K61" s="52"/>
      <c r="L61" s="52">
        <v>100</v>
      </c>
      <c r="M61" s="54"/>
      <c r="N61" s="51">
        <v>1</v>
      </c>
      <c r="O61" s="54"/>
      <c r="P61" s="54"/>
    </row>
    <row r="62" spans="1:16" s="43" customFormat="1" ht="15.6" x14ac:dyDescent="0.3">
      <c r="A62" s="59">
        <v>46151</v>
      </c>
      <c r="B62" s="57">
        <v>12724</v>
      </c>
      <c r="C62" s="48" t="s">
        <v>460</v>
      </c>
      <c r="D62" s="48" t="s">
        <v>246</v>
      </c>
      <c r="E62" s="49"/>
      <c r="F62" s="52"/>
      <c r="G62" s="52"/>
      <c r="H62" s="52"/>
      <c r="I62" s="52"/>
      <c r="J62" s="52"/>
      <c r="K62" s="52"/>
      <c r="L62" s="52">
        <v>75</v>
      </c>
      <c r="M62" s="54"/>
      <c r="N62" s="51">
        <v>1</v>
      </c>
      <c r="O62" s="54"/>
      <c r="P62" s="54"/>
    </row>
    <row r="63" spans="1:16" s="43" customFormat="1" ht="15.6" x14ac:dyDescent="0.3">
      <c r="A63" s="59">
        <v>46151</v>
      </c>
      <c r="B63" s="58">
        <v>14084</v>
      </c>
      <c r="C63" s="48" t="s">
        <v>39</v>
      </c>
      <c r="D63" s="48" t="s">
        <v>40</v>
      </c>
      <c r="E63" s="49"/>
      <c r="F63" s="52"/>
      <c r="G63" s="52"/>
      <c r="H63" s="52"/>
      <c r="I63" s="52"/>
      <c r="J63" s="52"/>
      <c r="K63" s="52"/>
      <c r="L63" s="52">
        <v>85</v>
      </c>
      <c r="M63" s="54"/>
      <c r="N63" s="51">
        <v>1</v>
      </c>
      <c r="O63" s="54"/>
      <c r="P63" s="54"/>
    </row>
    <row r="64" spans="1:16" s="43" customFormat="1" ht="15.6" x14ac:dyDescent="0.3">
      <c r="A64" s="59">
        <v>46151</v>
      </c>
      <c r="B64" s="57">
        <v>17043</v>
      </c>
      <c r="C64" s="48" t="s">
        <v>118</v>
      </c>
      <c r="D64" s="48" t="s">
        <v>119</v>
      </c>
      <c r="E64" s="49"/>
      <c r="F64" s="52"/>
      <c r="G64" s="52"/>
      <c r="H64" s="52"/>
      <c r="I64" s="52"/>
      <c r="J64" s="52"/>
      <c r="K64" s="52"/>
      <c r="L64" s="52">
        <v>70</v>
      </c>
      <c r="M64" s="54"/>
      <c r="N64" s="51">
        <v>1</v>
      </c>
      <c r="O64" s="54"/>
      <c r="P64" s="54"/>
    </row>
    <row r="65" spans="1:16" s="43" customFormat="1" ht="15.6" x14ac:dyDescent="0.3">
      <c r="A65" s="59">
        <v>46158</v>
      </c>
      <c r="B65" s="60">
        <v>18908</v>
      </c>
      <c r="C65" s="53" t="s">
        <v>190</v>
      </c>
      <c r="D65" s="53" t="s">
        <v>88</v>
      </c>
      <c r="E65" s="49"/>
      <c r="F65" s="52"/>
      <c r="G65" s="52"/>
      <c r="H65" s="52"/>
      <c r="I65" s="52"/>
      <c r="J65" s="52"/>
      <c r="K65" s="52"/>
      <c r="L65" s="52">
        <v>100</v>
      </c>
      <c r="M65" s="54">
        <v>160000</v>
      </c>
      <c r="N65" s="51">
        <v>1</v>
      </c>
      <c r="O65" s="54"/>
      <c r="P65" s="54"/>
    </row>
    <row r="66" spans="1:16" s="43" customFormat="1" ht="15.6" x14ac:dyDescent="0.3">
      <c r="A66" s="59">
        <v>46158</v>
      </c>
      <c r="B66" s="57">
        <v>30572</v>
      </c>
      <c r="C66" s="48" t="s">
        <v>225</v>
      </c>
      <c r="D66" s="48" t="s">
        <v>226</v>
      </c>
      <c r="E66" s="49"/>
      <c r="F66" s="52"/>
      <c r="G66" s="52"/>
      <c r="H66" s="52"/>
      <c r="I66" s="52"/>
      <c r="J66" s="52"/>
      <c r="K66" s="52"/>
      <c r="L66" s="52">
        <v>100</v>
      </c>
      <c r="M66" s="54">
        <v>160000</v>
      </c>
      <c r="N66" s="51">
        <v>1</v>
      </c>
      <c r="O66" s="54"/>
      <c r="P66" s="54"/>
    </row>
    <row r="67" spans="1:16" s="43" customFormat="1" ht="15.6" x14ac:dyDescent="0.3">
      <c r="A67" s="59">
        <v>46158</v>
      </c>
      <c r="B67" s="57">
        <v>30087</v>
      </c>
      <c r="C67" s="48" t="s">
        <v>149</v>
      </c>
      <c r="D67" s="48" t="s">
        <v>150</v>
      </c>
      <c r="E67" s="52"/>
      <c r="F67" s="52"/>
      <c r="G67" s="52"/>
      <c r="H67" s="52"/>
      <c r="I67" s="52"/>
      <c r="J67" s="52"/>
      <c r="K67" s="52"/>
      <c r="L67" s="52">
        <v>95</v>
      </c>
      <c r="M67" s="54">
        <v>110000</v>
      </c>
      <c r="N67" s="51">
        <v>1</v>
      </c>
      <c r="O67" s="54"/>
      <c r="P67" s="54"/>
    </row>
    <row r="68" spans="1:16" s="43" customFormat="1" ht="15.6" x14ac:dyDescent="0.3">
      <c r="A68" s="59">
        <v>46158</v>
      </c>
      <c r="B68" s="47">
        <v>22156</v>
      </c>
      <c r="C68" s="47" t="s">
        <v>231</v>
      </c>
      <c r="D68" s="47" t="s">
        <v>232</v>
      </c>
      <c r="E68" s="49"/>
      <c r="F68" s="52"/>
      <c r="G68" s="52"/>
      <c r="H68" s="52"/>
      <c r="I68" s="52"/>
      <c r="J68" s="52"/>
      <c r="K68" s="52"/>
      <c r="L68" s="52">
        <v>50</v>
      </c>
      <c r="M68" s="54"/>
      <c r="N68" s="51">
        <v>1</v>
      </c>
      <c r="O68" s="54"/>
      <c r="P68" s="54"/>
    </row>
    <row r="69" spans="1:16" s="43" customFormat="1" ht="15.6" x14ac:dyDescent="0.3">
      <c r="A69" s="59">
        <v>46158</v>
      </c>
      <c r="B69" s="57">
        <v>4080</v>
      </c>
      <c r="C69" s="48" t="s">
        <v>191</v>
      </c>
      <c r="D69" s="48" t="s">
        <v>106</v>
      </c>
      <c r="E69" s="49"/>
      <c r="F69" s="52"/>
      <c r="G69" s="52"/>
      <c r="H69" s="52"/>
      <c r="I69" s="52"/>
      <c r="J69" s="52"/>
      <c r="K69" s="52"/>
      <c r="L69" s="52">
        <v>70</v>
      </c>
      <c r="M69" s="54"/>
      <c r="N69" s="51">
        <v>1</v>
      </c>
      <c r="O69" s="54"/>
      <c r="P69" s="54"/>
    </row>
    <row r="70" spans="1:16" s="43" customFormat="1" ht="15.6" x14ac:dyDescent="0.3">
      <c r="A70" s="59">
        <v>46158</v>
      </c>
      <c r="B70" s="57">
        <v>27435</v>
      </c>
      <c r="C70" s="48" t="s">
        <v>151</v>
      </c>
      <c r="D70" s="48" t="s">
        <v>152</v>
      </c>
      <c r="E70" s="52"/>
      <c r="F70" s="52"/>
      <c r="G70" s="52"/>
      <c r="H70" s="52"/>
      <c r="I70" s="52"/>
      <c r="J70" s="52"/>
      <c r="K70" s="52"/>
      <c r="L70" s="52">
        <v>65</v>
      </c>
      <c r="M70" s="54"/>
      <c r="N70" s="51">
        <v>1</v>
      </c>
      <c r="O70" s="54"/>
      <c r="P70" s="54"/>
    </row>
    <row r="71" spans="1:16" s="43" customFormat="1" ht="15.6" x14ac:dyDescent="0.3">
      <c r="A71" s="59">
        <v>46158</v>
      </c>
      <c r="B71" s="57">
        <v>8473</v>
      </c>
      <c r="C71" s="48" t="s">
        <v>58</v>
      </c>
      <c r="D71" s="48" t="s">
        <v>59</v>
      </c>
      <c r="E71" s="49"/>
      <c r="F71" s="52"/>
      <c r="G71" s="52"/>
      <c r="H71" s="52"/>
      <c r="I71" s="52"/>
      <c r="J71" s="52"/>
      <c r="K71" s="52">
        <v>5</v>
      </c>
      <c r="L71" s="52">
        <v>60</v>
      </c>
      <c r="M71" s="54"/>
      <c r="N71" s="51">
        <v>1</v>
      </c>
      <c r="O71" s="54"/>
      <c r="P71" s="54"/>
    </row>
    <row r="72" spans="1:16" ht="15.6" x14ac:dyDescent="0.3">
      <c r="A72" s="59">
        <v>46158</v>
      </c>
      <c r="B72" s="47">
        <v>27233</v>
      </c>
      <c r="C72" s="47" t="s">
        <v>193</v>
      </c>
      <c r="D72" s="47" t="s">
        <v>194</v>
      </c>
      <c r="E72" s="49"/>
      <c r="F72" s="47"/>
      <c r="G72" s="47"/>
      <c r="H72" s="47"/>
      <c r="I72" s="47"/>
      <c r="J72" s="47"/>
      <c r="K72" s="47"/>
      <c r="L72" s="52">
        <v>50</v>
      </c>
      <c r="M72" s="50"/>
      <c r="N72" s="51">
        <v>1</v>
      </c>
      <c r="O72" s="50"/>
      <c r="P72" s="50"/>
    </row>
    <row r="73" spans="1:16" ht="15.6" x14ac:dyDescent="0.3">
      <c r="A73" s="59">
        <v>46158</v>
      </c>
      <c r="B73" s="61">
        <v>21865</v>
      </c>
      <c r="C73" s="53" t="s">
        <v>107</v>
      </c>
      <c r="D73" s="53" t="s">
        <v>108</v>
      </c>
      <c r="E73" s="49"/>
      <c r="F73" s="47"/>
      <c r="G73" s="47"/>
      <c r="H73" s="47"/>
      <c r="I73" s="47"/>
      <c r="J73" s="47"/>
      <c r="K73" s="47"/>
      <c r="L73" s="47">
        <v>80</v>
      </c>
      <c r="M73" s="50"/>
      <c r="N73" s="51">
        <v>1</v>
      </c>
      <c r="O73" s="50"/>
      <c r="P73" s="50"/>
    </row>
    <row r="74" spans="1:16" ht="15.6" x14ac:dyDescent="0.3">
      <c r="A74" s="59">
        <v>46158</v>
      </c>
      <c r="B74" s="57">
        <v>7891</v>
      </c>
      <c r="C74" s="48" t="s">
        <v>220</v>
      </c>
      <c r="D74" s="48" t="s">
        <v>221</v>
      </c>
      <c r="E74" s="49"/>
      <c r="F74" s="47"/>
      <c r="G74" s="47"/>
      <c r="H74" s="47"/>
      <c r="I74" s="47"/>
      <c r="J74" s="47"/>
      <c r="K74" s="47"/>
      <c r="L74" s="47">
        <v>50</v>
      </c>
      <c r="M74" s="50"/>
      <c r="N74" s="51">
        <v>1</v>
      </c>
      <c r="O74" s="50"/>
      <c r="P74" s="50"/>
    </row>
    <row r="75" spans="1:16" ht="15.6" x14ac:dyDescent="0.3">
      <c r="A75" s="59">
        <v>46158</v>
      </c>
      <c r="B75" s="47">
        <v>20941</v>
      </c>
      <c r="C75" s="47" t="s">
        <v>319</v>
      </c>
      <c r="D75" s="47" t="s">
        <v>320</v>
      </c>
      <c r="E75" s="49"/>
      <c r="F75" s="47"/>
      <c r="G75" s="47"/>
      <c r="H75" s="47"/>
      <c r="I75" s="47"/>
      <c r="J75" s="47"/>
      <c r="K75" s="47"/>
      <c r="L75" s="47">
        <v>80</v>
      </c>
      <c r="M75" s="50"/>
      <c r="N75" s="51">
        <v>1</v>
      </c>
      <c r="O75" s="50"/>
      <c r="P75" s="50"/>
    </row>
    <row r="76" spans="1:16" ht="15.6" x14ac:dyDescent="0.3">
      <c r="A76" s="59">
        <v>46158</v>
      </c>
      <c r="B76" s="57">
        <v>33116</v>
      </c>
      <c r="C76" s="48" t="s">
        <v>195</v>
      </c>
      <c r="D76" s="48" t="s">
        <v>196</v>
      </c>
      <c r="E76" s="49"/>
      <c r="F76" s="47"/>
      <c r="G76" s="47"/>
      <c r="H76" s="47"/>
      <c r="I76" s="47"/>
      <c r="J76" s="47"/>
      <c r="K76" s="47"/>
      <c r="L76" s="47">
        <v>75</v>
      </c>
      <c r="M76" s="50"/>
      <c r="N76" s="51">
        <v>1</v>
      </c>
      <c r="O76" s="50"/>
      <c r="P76" s="50"/>
    </row>
    <row r="77" spans="1:16" ht="15.6" x14ac:dyDescent="0.3">
      <c r="A77" s="59">
        <v>46158</v>
      </c>
      <c r="B77" s="57">
        <v>28225</v>
      </c>
      <c r="C77" s="48" t="s">
        <v>222</v>
      </c>
      <c r="D77" s="48" t="s">
        <v>233</v>
      </c>
      <c r="E77" s="49"/>
      <c r="F77" s="47"/>
      <c r="G77" s="47"/>
      <c r="H77" s="47"/>
      <c r="I77" s="47"/>
      <c r="J77" s="47"/>
      <c r="K77" s="47">
        <v>1</v>
      </c>
      <c r="L77" s="47">
        <v>90</v>
      </c>
      <c r="M77" s="50"/>
      <c r="N77" s="51">
        <v>1</v>
      </c>
      <c r="O77" s="50"/>
      <c r="P77" s="50"/>
    </row>
    <row r="78" spans="1:16" ht="15.6" x14ac:dyDescent="0.3">
      <c r="A78" s="59">
        <v>46158</v>
      </c>
      <c r="B78" s="57">
        <v>14715</v>
      </c>
      <c r="C78" s="48" t="s">
        <v>339</v>
      </c>
      <c r="D78" s="48" t="s">
        <v>340</v>
      </c>
      <c r="E78" s="49"/>
      <c r="F78" s="47"/>
      <c r="G78" s="47"/>
      <c r="H78" s="47"/>
      <c r="I78" s="47"/>
      <c r="J78" s="47"/>
      <c r="K78" s="47"/>
      <c r="L78" s="47">
        <v>80</v>
      </c>
      <c r="M78" s="50"/>
      <c r="N78" s="51">
        <v>1</v>
      </c>
      <c r="O78" s="50"/>
      <c r="P78" s="50"/>
    </row>
    <row r="79" spans="1:16" ht="15.6" x14ac:dyDescent="0.3">
      <c r="A79" s="59">
        <v>46158</v>
      </c>
      <c r="B79" s="61">
        <v>18861</v>
      </c>
      <c r="C79" s="53" t="s">
        <v>351</v>
      </c>
      <c r="D79" s="53" t="s">
        <v>352</v>
      </c>
      <c r="E79" s="49"/>
      <c r="F79" s="47"/>
      <c r="G79" s="47"/>
      <c r="H79" s="47"/>
      <c r="I79" s="47"/>
      <c r="J79" s="47">
        <v>69</v>
      </c>
      <c r="K79" s="47"/>
      <c r="L79" s="47">
        <v>100</v>
      </c>
      <c r="M79" s="50">
        <v>160000</v>
      </c>
      <c r="N79" s="51">
        <v>1</v>
      </c>
      <c r="O79" s="50"/>
      <c r="P79" s="50"/>
    </row>
    <row r="80" spans="1:16" ht="15.6" x14ac:dyDescent="0.3">
      <c r="A80" s="59">
        <v>46158</v>
      </c>
      <c r="B80" s="57">
        <v>15107</v>
      </c>
      <c r="C80" s="48" t="s">
        <v>153</v>
      </c>
      <c r="D80" s="48" t="s">
        <v>154</v>
      </c>
      <c r="E80" s="49"/>
      <c r="F80" s="47"/>
      <c r="G80" s="47"/>
      <c r="H80" s="47"/>
      <c r="I80" s="47"/>
      <c r="J80" s="47"/>
      <c r="K80" s="47"/>
      <c r="L80" s="47">
        <v>50</v>
      </c>
      <c r="M80" s="50"/>
      <c r="N80" s="51">
        <v>1</v>
      </c>
      <c r="O80" s="50"/>
      <c r="P80" s="50">
        <v>180000</v>
      </c>
    </row>
    <row r="81" spans="1:16" ht="15.6" x14ac:dyDescent="0.3">
      <c r="A81" s="59">
        <v>46158</v>
      </c>
      <c r="B81" s="57">
        <v>26953</v>
      </c>
      <c r="C81" s="48" t="s">
        <v>120</v>
      </c>
      <c r="D81" s="48" t="s">
        <v>121</v>
      </c>
      <c r="E81" s="49"/>
      <c r="F81" s="47"/>
      <c r="G81" s="47"/>
      <c r="H81" s="47"/>
      <c r="I81" s="47"/>
      <c r="J81" s="47"/>
      <c r="K81" s="47"/>
      <c r="L81" s="47">
        <v>70</v>
      </c>
      <c r="M81" s="50"/>
      <c r="N81" s="51">
        <v>1</v>
      </c>
      <c r="O81" s="50"/>
      <c r="P81" s="50"/>
    </row>
    <row r="82" spans="1:16" ht="15.6" x14ac:dyDescent="0.3">
      <c r="A82" s="59">
        <v>46158</v>
      </c>
      <c r="B82" s="47">
        <v>19187</v>
      </c>
      <c r="C82" s="47" t="s">
        <v>328</v>
      </c>
      <c r="D82" s="47" t="s">
        <v>200</v>
      </c>
      <c r="E82" s="49"/>
      <c r="F82" s="47"/>
      <c r="G82" s="47"/>
      <c r="H82" s="47"/>
      <c r="I82" s="47"/>
      <c r="J82" s="47"/>
      <c r="K82" s="47">
        <v>1</v>
      </c>
      <c r="L82" s="47">
        <v>95</v>
      </c>
      <c r="M82" s="50">
        <v>110000</v>
      </c>
      <c r="N82" s="51">
        <v>1</v>
      </c>
      <c r="O82" s="50"/>
      <c r="P82" s="50"/>
    </row>
    <row r="83" spans="1:16" ht="15.6" x14ac:dyDescent="0.3">
      <c r="A83" s="59">
        <v>46158</v>
      </c>
      <c r="B83" s="57">
        <v>3936</v>
      </c>
      <c r="C83" s="48" t="s">
        <v>462</v>
      </c>
      <c r="D83" s="48" t="s">
        <v>463</v>
      </c>
      <c r="E83" s="47"/>
      <c r="F83" s="47"/>
      <c r="G83" s="47"/>
      <c r="H83" s="47"/>
      <c r="I83" s="47"/>
      <c r="J83" s="47"/>
      <c r="K83" s="47"/>
      <c r="L83" s="47">
        <v>85</v>
      </c>
      <c r="M83" s="50"/>
      <c r="N83" s="51">
        <v>1</v>
      </c>
      <c r="O83" s="50"/>
      <c r="P83" s="50"/>
    </row>
    <row r="84" spans="1:16" ht="15.6" x14ac:dyDescent="0.3">
      <c r="A84" s="59">
        <v>46158</v>
      </c>
      <c r="B84" s="58">
        <v>28433</v>
      </c>
      <c r="C84" s="48" t="s">
        <v>353</v>
      </c>
      <c r="D84" s="48" t="s">
        <v>354</v>
      </c>
      <c r="E84" s="49"/>
      <c r="F84" s="47"/>
      <c r="G84" s="47"/>
      <c r="H84" s="47"/>
      <c r="I84" s="47"/>
      <c r="J84" s="47"/>
      <c r="K84" s="47"/>
      <c r="L84" s="47">
        <v>90</v>
      </c>
      <c r="M84" s="50"/>
      <c r="N84" s="51">
        <v>1</v>
      </c>
      <c r="O84" s="50"/>
      <c r="P84" s="50"/>
    </row>
    <row r="85" spans="1:16" ht="15.6" x14ac:dyDescent="0.3">
      <c r="A85" s="56">
        <v>46165</v>
      </c>
      <c r="B85" s="57">
        <v>12724</v>
      </c>
      <c r="C85" s="48" t="s">
        <v>460</v>
      </c>
      <c r="D85" s="48" t="s">
        <v>246</v>
      </c>
      <c r="E85" s="49"/>
      <c r="F85" s="47"/>
      <c r="G85" s="47">
        <v>10</v>
      </c>
      <c r="H85" s="47"/>
      <c r="I85" s="47"/>
      <c r="J85" s="47">
        <v>75</v>
      </c>
      <c r="K85" s="47"/>
      <c r="L85" s="47">
        <v>70</v>
      </c>
      <c r="M85" s="50"/>
      <c r="N85" s="51">
        <v>1</v>
      </c>
      <c r="O85" s="50"/>
      <c r="P85" s="50"/>
    </row>
    <row r="86" spans="1:16" ht="15.6" x14ac:dyDescent="0.3">
      <c r="A86" s="56">
        <v>46165</v>
      </c>
      <c r="B86" s="60">
        <v>18908</v>
      </c>
      <c r="C86" s="53" t="s">
        <v>190</v>
      </c>
      <c r="D86" s="53" t="s">
        <v>88</v>
      </c>
      <c r="E86" s="49"/>
      <c r="F86" s="47"/>
      <c r="G86" s="47">
        <v>12</v>
      </c>
      <c r="H86" s="47"/>
      <c r="I86" s="47"/>
      <c r="J86" s="47">
        <v>70</v>
      </c>
      <c r="K86" s="47"/>
      <c r="L86" s="47">
        <v>90</v>
      </c>
      <c r="M86" s="50">
        <v>140000</v>
      </c>
      <c r="N86" s="51">
        <v>1</v>
      </c>
      <c r="O86" s="50"/>
      <c r="P86" s="50"/>
    </row>
    <row r="87" spans="1:16" ht="15.6" x14ac:dyDescent="0.3">
      <c r="A87" s="56">
        <v>46165</v>
      </c>
      <c r="B87" s="57">
        <v>30087</v>
      </c>
      <c r="C87" s="48" t="s">
        <v>149</v>
      </c>
      <c r="D87" s="48" t="s">
        <v>150</v>
      </c>
      <c r="E87" s="49"/>
      <c r="F87" s="47"/>
      <c r="G87" s="47">
        <v>12</v>
      </c>
      <c r="H87" s="47"/>
      <c r="I87" s="47"/>
      <c r="J87" s="47">
        <v>71</v>
      </c>
      <c r="K87" s="47"/>
      <c r="L87" s="47">
        <v>85</v>
      </c>
      <c r="M87" s="50">
        <v>120000</v>
      </c>
      <c r="N87" s="51">
        <v>1</v>
      </c>
      <c r="O87" s="50"/>
      <c r="P87" s="50"/>
    </row>
    <row r="88" spans="1:16" ht="15.6" x14ac:dyDescent="0.3">
      <c r="A88" s="56">
        <v>46165</v>
      </c>
      <c r="B88" s="51">
        <v>9446</v>
      </c>
      <c r="C88" s="51" t="s">
        <v>285</v>
      </c>
      <c r="D88" s="51" t="s">
        <v>286</v>
      </c>
      <c r="E88" s="49"/>
      <c r="F88" s="47"/>
      <c r="G88" s="47">
        <v>12</v>
      </c>
      <c r="H88" s="47"/>
      <c r="I88" s="47"/>
      <c r="J88" s="47">
        <v>73</v>
      </c>
      <c r="K88" s="47"/>
      <c r="L88" s="47">
        <v>80</v>
      </c>
      <c r="M88" s="50">
        <v>100000</v>
      </c>
      <c r="N88" s="51">
        <v>1</v>
      </c>
      <c r="O88" s="50"/>
      <c r="P88" s="50"/>
    </row>
    <row r="89" spans="1:16" ht="15.6" x14ac:dyDescent="0.3">
      <c r="A89" s="56">
        <v>46165</v>
      </c>
      <c r="B89" s="61">
        <v>21865</v>
      </c>
      <c r="C89" s="53" t="s">
        <v>107</v>
      </c>
      <c r="D89" s="53" t="s">
        <v>108</v>
      </c>
      <c r="E89" s="49"/>
      <c r="F89" s="47"/>
      <c r="G89" s="47">
        <v>15</v>
      </c>
      <c r="H89" s="47"/>
      <c r="I89" s="47"/>
      <c r="J89" s="47">
        <v>76</v>
      </c>
      <c r="K89" s="47"/>
      <c r="L89" s="47">
        <v>65</v>
      </c>
      <c r="M89" s="50"/>
      <c r="N89" s="51">
        <v>1</v>
      </c>
      <c r="O89" s="50"/>
      <c r="P89" s="50"/>
    </row>
    <row r="90" spans="1:16" ht="15.6" x14ac:dyDescent="0.3">
      <c r="A90" s="56">
        <v>46165</v>
      </c>
      <c r="B90" s="57">
        <v>17043</v>
      </c>
      <c r="C90" s="48" t="s">
        <v>118</v>
      </c>
      <c r="D90" s="48" t="s">
        <v>119</v>
      </c>
      <c r="E90" s="47"/>
      <c r="F90" s="47"/>
      <c r="G90" s="47">
        <v>18</v>
      </c>
      <c r="H90" s="47"/>
      <c r="I90" s="47"/>
      <c r="J90" s="47">
        <v>82</v>
      </c>
      <c r="K90" s="47"/>
      <c r="L90" s="47">
        <v>45</v>
      </c>
      <c r="M90" s="50"/>
      <c r="N90" s="51">
        <v>1</v>
      </c>
      <c r="O90" s="50"/>
      <c r="P90" s="50"/>
    </row>
    <row r="91" spans="1:16" ht="15.6" x14ac:dyDescent="0.3">
      <c r="A91" s="56">
        <v>46165</v>
      </c>
      <c r="B91" s="57">
        <v>3936</v>
      </c>
      <c r="C91" s="48" t="s">
        <v>462</v>
      </c>
      <c r="D91" s="48" t="s">
        <v>463</v>
      </c>
      <c r="E91" s="47"/>
      <c r="F91" s="47"/>
      <c r="G91" s="47">
        <v>18</v>
      </c>
      <c r="H91" s="47"/>
      <c r="I91" s="47"/>
      <c r="J91" s="47">
        <v>81</v>
      </c>
      <c r="K91" s="47"/>
      <c r="L91" s="47">
        <v>50</v>
      </c>
      <c r="M91" s="50"/>
      <c r="N91" s="51">
        <v>1</v>
      </c>
      <c r="O91" s="50"/>
      <c r="P91" s="50"/>
    </row>
    <row r="92" spans="1:16" ht="15.6" x14ac:dyDescent="0.3">
      <c r="A92" s="56">
        <v>46165</v>
      </c>
      <c r="B92" s="57">
        <v>7891</v>
      </c>
      <c r="C92" s="48" t="s">
        <v>220</v>
      </c>
      <c r="D92" s="48" t="s">
        <v>221</v>
      </c>
      <c r="E92" s="47"/>
      <c r="F92" s="47"/>
      <c r="G92" s="47">
        <v>19</v>
      </c>
      <c r="H92" s="47"/>
      <c r="I92" s="47"/>
      <c r="J92" s="47">
        <v>67</v>
      </c>
      <c r="K92" s="47"/>
      <c r="L92" s="47">
        <v>100</v>
      </c>
      <c r="M92" s="50">
        <v>200000</v>
      </c>
      <c r="N92" s="51">
        <v>1</v>
      </c>
      <c r="O92" s="50"/>
      <c r="P92" s="50"/>
    </row>
    <row r="93" spans="1:16" ht="15.6" x14ac:dyDescent="0.3">
      <c r="A93" s="56">
        <v>46165</v>
      </c>
      <c r="B93" s="62">
        <v>32142</v>
      </c>
      <c r="C93" s="48" t="s">
        <v>47</v>
      </c>
      <c r="D93" s="48" t="s">
        <v>48</v>
      </c>
      <c r="E93" s="47"/>
      <c r="F93" s="47"/>
      <c r="G93" s="47">
        <v>20</v>
      </c>
      <c r="H93" s="47"/>
      <c r="I93" s="47"/>
      <c r="J93" s="47">
        <v>76</v>
      </c>
      <c r="K93" s="47">
        <v>1</v>
      </c>
      <c r="L93" s="47">
        <v>65</v>
      </c>
      <c r="M93" s="50"/>
      <c r="N93" s="51">
        <v>1</v>
      </c>
      <c r="O93" s="50"/>
      <c r="P93" s="50"/>
    </row>
    <row r="94" spans="1:16" ht="15.6" x14ac:dyDescent="0.3">
      <c r="A94" s="56">
        <v>46165</v>
      </c>
      <c r="B94" s="57">
        <v>30572</v>
      </c>
      <c r="C94" s="48" t="s">
        <v>225</v>
      </c>
      <c r="D94" s="48" t="s">
        <v>226</v>
      </c>
      <c r="E94" s="47"/>
      <c r="F94" s="47"/>
      <c r="G94" s="47">
        <v>21</v>
      </c>
      <c r="H94" s="47"/>
      <c r="I94" s="47"/>
      <c r="J94" s="47">
        <v>79</v>
      </c>
      <c r="K94" s="47"/>
      <c r="L94" s="47">
        <v>55</v>
      </c>
      <c r="M94" s="50"/>
      <c r="N94" s="51">
        <v>1</v>
      </c>
      <c r="O94" s="50"/>
      <c r="P94" s="50"/>
    </row>
    <row r="95" spans="1:16" ht="15.6" x14ac:dyDescent="0.3">
      <c r="A95" s="56">
        <v>46165</v>
      </c>
      <c r="B95" s="47">
        <v>20941</v>
      </c>
      <c r="C95" s="47" t="s">
        <v>319</v>
      </c>
      <c r="D95" s="47" t="s">
        <v>320</v>
      </c>
      <c r="E95" s="47"/>
      <c r="F95" s="47"/>
      <c r="G95" s="47">
        <v>24</v>
      </c>
      <c r="H95" s="47"/>
      <c r="I95" s="47"/>
      <c r="J95" s="47">
        <v>76</v>
      </c>
      <c r="K95" s="47"/>
      <c r="L95" s="47">
        <v>65</v>
      </c>
      <c r="M95" s="50"/>
      <c r="N95" s="51">
        <v>1</v>
      </c>
      <c r="O95" s="50"/>
      <c r="P95" s="50"/>
    </row>
    <row r="96" spans="1:16" ht="15.6" x14ac:dyDescent="0.3">
      <c r="A96" s="56">
        <v>46165</v>
      </c>
      <c r="B96" s="57">
        <v>17043</v>
      </c>
      <c r="C96" s="48" t="s">
        <v>118</v>
      </c>
      <c r="D96" s="48" t="s">
        <v>119</v>
      </c>
      <c r="E96" s="47"/>
      <c r="F96" s="47"/>
      <c r="G96" s="47">
        <v>24</v>
      </c>
      <c r="H96" s="47"/>
      <c r="I96" s="47"/>
      <c r="J96" s="47">
        <v>74</v>
      </c>
      <c r="K96" s="47"/>
      <c r="L96" s="47">
        <v>75</v>
      </c>
      <c r="M96" s="50"/>
      <c r="N96" s="51">
        <v>1</v>
      </c>
      <c r="O96" s="50"/>
      <c r="P96" s="50"/>
    </row>
    <row r="97" spans="1:16" ht="15.6" x14ac:dyDescent="0.3">
      <c r="A97" s="56">
        <v>46165</v>
      </c>
      <c r="B97" s="57">
        <v>16552</v>
      </c>
      <c r="C97" s="48" t="s">
        <v>272</v>
      </c>
      <c r="D97" s="48" t="s">
        <v>273</v>
      </c>
      <c r="E97" s="47"/>
      <c r="F97" s="47"/>
      <c r="G97" s="47">
        <v>12</v>
      </c>
      <c r="H97" s="47"/>
      <c r="I97" s="47"/>
      <c r="J97" s="47">
        <v>76</v>
      </c>
      <c r="K97" s="47">
        <v>1</v>
      </c>
      <c r="L97" s="47">
        <v>65</v>
      </c>
      <c r="M97" s="50"/>
      <c r="N97" s="51">
        <v>1</v>
      </c>
      <c r="O97" s="50"/>
      <c r="P97" s="50"/>
    </row>
    <row r="98" spans="1:16" ht="15.6" x14ac:dyDescent="0.3">
      <c r="A98" s="56">
        <v>46165</v>
      </c>
      <c r="B98" s="57">
        <v>28225</v>
      </c>
      <c r="C98" s="48" t="s">
        <v>222</v>
      </c>
      <c r="D98" s="48" t="s">
        <v>233</v>
      </c>
      <c r="E98" s="47"/>
      <c r="F98" s="47"/>
      <c r="G98" s="47">
        <v>13</v>
      </c>
      <c r="H98" s="47"/>
      <c r="I98" s="47"/>
      <c r="J98" s="47">
        <v>78</v>
      </c>
      <c r="K98" s="47"/>
      <c r="L98" s="47">
        <v>60</v>
      </c>
      <c r="M98" s="50"/>
      <c r="N98" s="51">
        <v>1</v>
      </c>
      <c r="O98" s="50"/>
      <c r="P98" s="50"/>
    </row>
    <row r="99" spans="1:16" ht="15.6" x14ac:dyDescent="0.3">
      <c r="A99" s="56">
        <v>46165</v>
      </c>
      <c r="B99" s="57">
        <v>15107</v>
      </c>
      <c r="C99" s="48" t="s">
        <v>153</v>
      </c>
      <c r="D99" s="48" t="s">
        <v>154</v>
      </c>
      <c r="E99" s="47"/>
      <c r="F99" s="47"/>
      <c r="G99" s="47">
        <v>14</v>
      </c>
      <c r="H99" s="47"/>
      <c r="I99" s="47"/>
      <c r="J99" s="47">
        <v>82</v>
      </c>
      <c r="K99" s="47"/>
      <c r="L99" s="47">
        <v>45</v>
      </c>
      <c r="M99" s="50"/>
      <c r="N99" s="51">
        <v>1</v>
      </c>
      <c r="O99" s="50"/>
      <c r="P99" s="50">
        <v>100000</v>
      </c>
    </row>
    <row r="100" spans="1:16" ht="15.6" x14ac:dyDescent="0.3">
      <c r="A100" s="56">
        <v>46165</v>
      </c>
      <c r="B100" s="57">
        <v>4080</v>
      </c>
      <c r="C100" s="48" t="s">
        <v>191</v>
      </c>
      <c r="D100" s="48" t="s">
        <v>106</v>
      </c>
      <c r="E100" s="47"/>
      <c r="F100" s="47"/>
      <c r="G100" s="47">
        <v>16</v>
      </c>
      <c r="H100" s="47"/>
      <c r="I100" s="47"/>
      <c r="J100" s="47">
        <v>81</v>
      </c>
      <c r="K100" s="47"/>
      <c r="L100" s="47">
        <v>50</v>
      </c>
      <c r="M100" s="50"/>
      <c r="N100" s="51">
        <v>1</v>
      </c>
      <c r="O100" s="50"/>
      <c r="P100" s="50"/>
    </row>
    <row r="101" spans="1:16" ht="15.6" x14ac:dyDescent="0.3">
      <c r="A101" s="56">
        <v>46165</v>
      </c>
      <c r="B101" s="58">
        <v>28433</v>
      </c>
      <c r="C101" s="48" t="s">
        <v>353</v>
      </c>
      <c r="D101" s="48" t="s">
        <v>354</v>
      </c>
      <c r="E101" s="47"/>
      <c r="F101" s="47"/>
      <c r="G101" s="47">
        <v>24</v>
      </c>
      <c r="H101" s="47"/>
      <c r="I101" s="47"/>
      <c r="J101" s="47">
        <v>79</v>
      </c>
      <c r="K101" s="47"/>
      <c r="L101" s="47">
        <v>55</v>
      </c>
      <c r="M101" s="50"/>
      <c r="N101" s="51">
        <v>1</v>
      </c>
      <c r="O101" s="50"/>
      <c r="P101" s="50"/>
    </row>
    <row r="102" spans="1:16" ht="15.6" x14ac:dyDescent="0.3">
      <c r="A102" s="56">
        <v>46165</v>
      </c>
      <c r="B102" s="57">
        <v>8473</v>
      </c>
      <c r="C102" s="48" t="s">
        <v>58</v>
      </c>
      <c r="D102" s="48" t="s">
        <v>59</v>
      </c>
      <c r="E102" s="47"/>
      <c r="F102" s="47"/>
      <c r="G102" s="47">
        <v>24</v>
      </c>
      <c r="H102" s="47"/>
      <c r="I102" s="47"/>
      <c r="J102" s="47">
        <v>76</v>
      </c>
      <c r="K102" s="47"/>
      <c r="L102" s="47">
        <v>65</v>
      </c>
      <c r="M102" s="50"/>
      <c r="N102" s="51">
        <v>1</v>
      </c>
      <c r="O102" s="50"/>
      <c r="P102" s="50"/>
    </row>
    <row r="103" spans="1:16" ht="15.6" x14ac:dyDescent="0.3">
      <c r="A103" s="56">
        <v>46165</v>
      </c>
      <c r="B103" s="47">
        <v>24283</v>
      </c>
      <c r="C103" s="47" t="s">
        <v>287</v>
      </c>
      <c r="D103" s="47" t="s">
        <v>288</v>
      </c>
      <c r="E103" s="47"/>
      <c r="F103" s="47"/>
      <c r="G103" s="47">
        <v>27</v>
      </c>
      <c r="H103" s="47"/>
      <c r="I103" s="47"/>
      <c r="J103" s="47">
        <v>79</v>
      </c>
      <c r="K103" s="47"/>
      <c r="L103" s="47">
        <v>55</v>
      </c>
      <c r="M103" s="50"/>
      <c r="N103" s="51">
        <v>1</v>
      </c>
      <c r="O103" s="50"/>
      <c r="P103" s="50"/>
    </row>
    <row r="104" spans="1:16" ht="15.6" x14ac:dyDescent="0.3">
      <c r="A104" s="56">
        <v>46165</v>
      </c>
      <c r="B104" s="47">
        <v>27233</v>
      </c>
      <c r="C104" s="47" t="s">
        <v>193</v>
      </c>
      <c r="D104" s="47" t="s">
        <v>194</v>
      </c>
      <c r="E104" s="47"/>
      <c r="F104" s="47"/>
      <c r="G104" s="47">
        <v>29</v>
      </c>
      <c r="H104" s="47"/>
      <c r="I104" s="47"/>
      <c r="J104" s="47">
        <v>68</v>
      </c>
      <c r="K104" s="47"/>
      <c r="L104" s="47">
        <v>95</v>
      </c>
      <c r="M104" s="50">
        <v>180000</v>
      </c>
      <c r="N104" s="51">
        <v>1</v>
      </c>
      <c r="O104" s="50"/>
      <c r="P104" s="50"/>
    </row>
    <row r="105" spans="1:16" ht="15.6" x14ac:dyDescent="0.3">
      <c r="A105" s="56">
        <v>46171</v>
      </c>
      <c r="B105" s="57">
        <v>4080</v>
      </c>
      <c r="C105" s="48" t="s">
        <v>191</v>
      </c>
      <c r="D105" s="48" t="s">
        <v>106</v>
      </c>
      <c r="E105" s="47">
        <v>14.9</v>
      </c>
      <c r="F105" s="47" t="s">
        <v>377</v>
      </c>
      <c r="G105" s="47">
        <v>16</v>
      </c>
      <c r="H105" s="47"/>
      <c r="I105" s="47">
        <v>95</v>
      </c>
      <c r="J105" s="47">
        <f>I105-G105</f>
        <v>79</v>
      </c>
      <c r="K105" s="47"/>
      <c r="L105" s="47">
        <v>65</v>
      </c>
      <c r="M105" s="50"/>
      <c r="N105" s="51">
        <v>1</v>
      </c>
      <c r="O105" s="50"/>
      <c r="P105" s="50"/>
    </row>
    <row r="106" spans="1:16" ht="15.6" x14ac:dyDescent="0.3">
      <c r="A106" s="56">
        <v>46171</v>
      </c>
      <c r="B106" s="57">
        <v>15107</v>
      </c>
      <c r="C106" s="48" t="s">
        <v>153</v>
      </c>
      <c r="D106" s="48" t="s">
        <v>154</v>
      </c>
      <c r="E106" s="47">
        <v>13.8</v>
      </c>
      <c r="F106" s="47" t="s">
        <v>377</v>
      </c>
      <c r="G106" s="47">
        <v>15</v>
      </c>
      <c r="H106" s="47"/>
      <c r="I106" s="47">
        <v>99</v>
      </c>
      <c r="J106" s="47">
        <f t="shared" ref="J106:J125" si="0">I106-G106</f>
        <v>84</v>
      </c>
      <c r="K106" s="47">
        <v>1</v>
      </c>
      <c r="L106" s="47">
        <v>55</v>
      </c>
      <c r="M106" s="50"/>
      <c r="N106" s="51">
        <v>1</v>
      </c>
      <c r="O106" s="50"/>
      <c r="P106" s="50"/>
    </row>
    <row r="107" spans="1:16" ht="15.6" x14ac:dyDescent="0.3">
      <c r="A107" s="56">
        <v>46171</v>
      </c>
      <c r="B107" s="57">
        <v>17043</v>
      </c>
      <c r="C107" s="48" t="s">
        <v>118</v>
      </c>
      <c r="D107" s="48" t="s">
        <v>119</v>
      </c>
      <c r="E107" s="47">
        <v>17.600000000000001</v>
      </c>
      <c r="F107" s="47" t="s">
        <v>378</v>
      </c>
      <c r="G107" s="47">
        <v>18</v>
      </c>
      <c r="H107" s="47"/>
      <c r="I107" s="47">
        <v>87</v>
      </c>
      <c r="J107" s="47">
        <f t="shared" si="0"/>
        <v>69</v>
      </c>
      <c r="K107" s="47"/>
      <c r="L107" s="47">
        <v>100</v>
      </c>
      <c r="M107" s="50">
        <v>200000</v>
      </c>
      <c r="N107" s="51">
        <v>1</v>
      </c>
      <c r="O107" s="50"/>
      <c r="P107" s="50"/>
    </row>
    <row r="108" spans="1:16" ht="15.6" x14ac:dyDescent="0.3">
      <c r="A108" s="56">
        <v>46171</v>
      </c>
      <c r="B108" s="57">
        <v>28225</v>
      </c>
      <c r="C108" s="48" t="s">
        <v>222</v>
      </c>
      <c r="D108" s="48" t="s">
        <v>233</v>
      </c>
      <c r="E108" s="47">
        <v>13</v>
      </c>
      <c r="F108" s="47" t="s">
        <v>377</v>
      </c>
      <c r="G108" s="47">
        <v>14</v>
      </c>
      <c r="H108" s="47"/>
      <c r="I108" s="47">
        <v>93</v>
      </c>
      <c r="J108" s="47">
        <f t="shared" si="0"/>
        <v>79</v>
      </c>
      <c r="K108" s="47"/>
      <c r="L108" s="47">
        <v>65</v>
      </c>
      <c r="M108" s="50"/>
      <c r="N108" s="51">
        <v>1</v>
      </c>
      <c r="O108" s="50"/>
      <c r="P108" s="50">
        <v>140000</v>
      </c>
    </row>
    <row r="109" spans="1:16" ht="15.6" x14ac:dyDescent="0.3">
      <c r="A109" s="56">
        <v>46171</v>
      </c>
      <c r="B109" s="57">
        <v>30572</v>
      </c>
      <c r="C109" s="48" t="s">
        <v>225</v>
      </c>
      <c r="D109" s="48" t="s">
        <v>226</v>
      </c>
      <c r="E109" s="47">
        <v>22.3</v>
      </c>
      <c r="F109" s="47" t="s">
        <v>378</v>
      </c>
      <c r="G109" s="47">
        <v>20</v>
      </c>
      <c r="H109" s="47"/>
      <c r="I109" s="47">
        <v>95</v>
      </c>
      <c r="J109" s="47">
        <f t="shared" si="0"/>
        <v>75</v>
      </c>
      <c r="K109" s="47"/>
      <c r="L109" s="47">
        <v>80</v>
      </c>
      <c r="M109" s="50"/>
      <c r="N109" s="51">
        <v>1</v>
      </c>
      <c r="O109" s="50"/>
      <c r="P109" s="50"/>
    </row>
    <row r="110" spans="1:16" ht="15.6" x14ac:dyDescent="0.3">
      <c r="A110" s="56">
        <v>46171</v>
      </c>
      <c r="B110" s="58">
        <v>28433</v>
      </c>
      <c r="C110" s="48" t="s">
        <v>353</v>
      </c>
      <c r="D110" s="48" t="s">
        <v>354</v>
      </c>
      <c r="E110" s="47">
        <v>22.7</v>
      </c>
      <c r="F110" s="47" t="s">
        <v>378</v>
      </c>
      <c r="G110" s="47">
        <v>24</v>
      </c>
      <c r="H110" s="47"/>
      <c r="I110" s="47">
        <v>98</v>
      </c>
      <c r="J110" s="47">
        <f t="shared" si="0"/>
        <v>74</v>
      </c>
      <c r="K110" s="47">
        <v>1</v>
      </c>
      <c r="L110" s="47">
        <v>85</v>
      </c>
      <c r="M110" s="50">
        <v>50000</v>
      </c>
      <c r="N110" s="51">
        <v>1</v>
      </c>
      <c r="O110" s="50"/>
      <c r="P110" s="50"/>
    </row>
    <row r="111" spans="1:16" ht="15.6" x14ac:dyDescent="0.3">
      <c r="A111" s="56">
        <v>46171</v>
      </c>
      <c r="B111" s="61">
        <v>21865</v>
      </c>
      <c r="C111" s="53" t="s">
        <v>107</v>
      </c>
      <c r="D111" s="53" t="s">
        <v>108</v>
      </c>
      <c r="E111" s="49">
        <v>15.6</v>
      </c>
      <c r="F111" s="47" t="s">
        <v>378</v>
      </c>
      <c r="G111" s="47">
        <v>15</v>
      </c>
      <c r="H111" s="47"/>
      <c r="I111" s="47">
        <v>92</v>
      </c>
      <c r="J111" s="47">
        <f t="shared" si="0"/>
        <v>77</v>
      </c>
      <c r="K111" s="47"/>
      <c r="L111" s="47">
        <v>75</v>
      </c>
      <c r="M111" s="50"/>
      <c r="N111" s="51">
        <v>1</v>
      </c>
      <c r="O111" s="50"/>
      <c r="P111" s="50"/>
    </row>
    <row r="112" spans="1:16" ht="15.6" x14ac:dyDescent="0.3">
      <c r="A112" s="56">
        <v>46171</v>
      </c>
      <c r="B112" s="47">
        <v>24283</v>
      </c>
      <c r="C112" s="47" t="s">
        <v>287</v>
      </c>
      <c r="D112" s="47" t="s">
        <v>288</v>
      </c>
      <c r="E112" s="47">
        <v>26</v>
      </c>
      <c r="F112" s="47" t="s">
        <v>378</v>
      </c>
      <c r="G112" s="47">
        <v>28</v>
      </c>
      <c r="H112" s="47"/>
      <c r="I112" s="47">
        <v>108</v>
      </c>
      <c r="J112" s="47">
        <f t="shared" si="0"/>
        <v>80</v>
      </c>
      <c r="K112" s="47">
        <v>1</v>
      </c>
      <c r="L112" s="47">
        <v>60</v>
      </c>
      <c r="M112" s="50"/>
      <c r="N112" s="51">
        <v>1</v>
      </c>
      <c r="O112" s="50"/>
      <c r="P112" s="50"/>
    </row>
    <row r="113" spans="1:16" ht="15.6" x14ac:dyDescent="0.3">
      <c r="A113" s="56">
        <v>46171</v>
      </c>
      <c r="B113" s="47">
        <v>19187</v>
      </c>
      <c r="C113" s="47" t="s">
        <v>328</v>
      </c>
      <c r="D113" s="47" t="s">
        <v>200</v>
      </c>
      <c r="E113" s="47">
        <v>13.3</v>
      </c>
      <c r="F113" s="47" t="s">
        <v>377</v>
      </c>
      <c r="G113" s="47">
        <v>14</v>
      </c>
      <c r="H113" s="47"/>
      <c r="I113" s="47">
        <v>98</v>
      </c>
      <c r="J113" s="47">
        <f t="shared" si="0"/>
        <v>84</v>
      </c>
      <c r="K113" s="47">
        <v>1</v>
      </c>
      <c r="L113" s="47">
        <v>55</v>
      </c>
      <c r="M113" s="50"/>
      <c r="N113" s="51">
        <v>1</v>
      </c>
      <c r="O113" s="50"/>
      <c r="P113" s="50"/>
    </row>
    <row r="114" spans="1:16" ht="15.6" x14ac:dyDescent="0.3">
      <c r="A114" s="56">
        <v>46171</v>
      </c>
      <c r="B114" s="57">
        <v>30087</v>
      </c>
      <c r="C114" s="48" t="s">
        <v>149</v>
      </c>
      <c r="D114" s="48" t="s">
        <v>150</v>
      </c>
      <c r="E114" s="49">
        <v>11.4</v>
      </c>
      <c r="F114" s="47" t="s">
        <v>377</v>
      </c>
      <c r="G114" s="47">
        <v>12</v>
      </c>
      <c r="H114" s="47"/>
      <c r="I114" s="47">
        <v>85</v>
      </c>
      <c r="J114" s="47">
        <f t="shared" si="0"/>
        <v>73</v>
      </c>
      <c r="K114" s="47"/>
      <c r="L114" s="47">
        <v>90</v>
      </c>
      <c r="M114" s="50">
        <v>120000</v>
      </c>
      <c r="N114" s="51">
        <v>1</v>
      </c>
      <c r="O114" s="50"/>
      <c r="P114" s="50"/>
    </row>
    <row r="115" spans="1:16" ht="15.6" x14ac:dyDescent="0.3">
      <c r="A115" s="56">
        <v>46171</v>
      </c>
      <c r="B115" s="57">
        <v>7891</v>
      </c>
      <c r="C115" s="48" t="s">
        <v>220</v>
      </c>
      <c r="D115" s="48" t="s">
        <v>221</v>
      </c>
      <c r="E115" s="47">
        <v>21.6</v>
      </c>
      <c r="F115" s="47" t="s">
        <v>378</v>
      </c>
      <c r="G115" s="47">
        <v>18</v>
      </c>
      <c r="H115" s="47"/>
      <c r="I115" s="47">
        <v>106</v>
      </c>
      <c r="J115" s="47">
        <f t="shared" si="0"/>
        <v>88</v>
      </c>
      <c r="K115" s="47"/>
      <c r="L115" s="47">
        <v>50</v>
      </c>
      <c r="M115" s="50"/>
      <c r="N115" s="51">
        <v>1</v>
      </c>
      <c r="O115" s="50"/>
      <c r="P115" s="50"/>
    </row>
    <row r="116" spans="1:16" ht="15.6" x14ac:dyDescent="0.3">
      <c r="A116" s="56">
        <v>46171</v>
      </c>
      <c r="B116" s="57">
        <v>13625</v>
      </c>
      <c r="C116" s="48" t="s">
        <v>222</v>
      </c>
      <c r="D116" s="48" t="s">
        <v>223</v>
      </c>
      <c r="E116" s="47">
        <v>9.8000000000000007</v>
      </c>
      <c r="F116" s="47" t="s">
        <v>377</v>
      </c>
      <c r="G116" s="47">
        <v>10</v>
      </c>
      <c r="H116" s="47"/>
      <c r="I116" s="47">
        <v>88</v>
      </c>
      <c r="J116" s="47">
        <f t="shared" si="0"/>
        <v>78</v>
      </c>
      <c r="K116" s="47"/>
      <c r="L116" s="47">
        <v>70</v>
      </c>
      <c r="M116" s="50"/>
      <c r="N116" s="51">
        <v>1</v>
      </c>
      <c r="O116" s="50"/>
      <c r="P116" s="50"/>
    </row>
    <row r="117" spans="1:16" ht="15.6" x14ac:dyDescent="0.3">
      <c r="A117" s="56">
        <v>46171</v>
      </c>
      <c r="B117" s="57">
        <v>12724</v>
      </c>
      <c r="C117" s="48" t="s">
        <v>460</v>
      </c>
      <c r="D117" s="48" t="s">
        <v>246</v>
      </c>
      <c r="E117" s="47">
        <v>9</v>
      </c>
      <c r="F117" s="47" t="s">
        <v>377</v>
      </c>
      <c r="G117" s="47">
        <v>10</v>
      </c>
      <c r="H117" s="47"/>
      <c r="I117" s="47">
        <v>90</v>
      </c>
      <c r="J117" s="47">
        <f t="shared" si="0"/>
        <v>80</v>
      </c>
      <c r="K117" s="47"/>
      <c r="L117" s="47">
        <v>60</v>
      </c>
      <c r="M117" s="50"/>
      <c r="N117" s="51">
        <v>1</v>
      </c>
      <c r="O117" s="50"/>
      <c r="P117" s="50"/>
    </row>
    <row r="118" spans="1:16" ht="15.6" x14ac:dyDescent="0.3">
      <c r="A118" s="56">
        <v>46171</v>
      </c>
      <c r="B118" s="57">
        <v>8473</v>
      </c>
      <c r="C118" s="48" t="s">
        <v>58</v>
      </c>
      <c r="D118" s="48" t="s">
        <v>59</v>
      </c>
      <c r="E118" s="47">
        <v>23.3</v>
      </c>
      <c r="F118" s="47" t="s">
        <v>378</v>
      </c>
      <c r="G118" s="47">
        <v>24</v>
      </c>
      <c r="H118" s="47"/>
      <c r="I118" s="47">
        <v>113</v>
      </c>
      <c r="J118" s="47">
        <f t="shared" si="0"/>
        <v>89</v>
      </c>
      <c r="K118" s="47"/>
      <c r="L118" s="47">
        <v>45</v>
      </c>
      <c r="M118" s="50"/>
      <c r="N118" s="51">
        <v>1</v>
      </c>
      <c r="O118" s="50"/>
      <c r="P118" s="50"/>
    </row>
    <row r="119" spans="1:16" ht="15.6" x14ac:dyDescent="0.3">
      <c r="A119" s="56">
        <v>46171</v>
      </c>
      <c r="B119" s="64">
        <v>17558</v>
      </c>
      <c r="C119" s="48" t="s">
        <v>333</v>
      </c>
      <c r="D119" s="48" t="s">
        <v>471</v>
      </c>
      <c r="E119" s="47">
        <v>29.8</v>
      </c>
      <c r="F119" s="47" t="s">
        <v>378</v>
      </c>
      <c r="G119" s="47">
        <v>32</v>
      </c>
      <c r="H119" s="47"/>
      <c r="I119" s="47">
        <v>103</v>
      </c>
      <c r="J119" s="47">
        <f t="shared" si="0"/>
        <v>71</v>
      </c>
      <c r="K119" s="47"/>
      <c r="L119" s="47">
        <v>95</v>
      </c>
      <c r="M119" s="50">
        <v>140000</v>
      </c>
      <c r="N119" s="51">
        <v>1</v>
      </c>
      <c r="O119" s="50"/>
      <c r="P119" s="50"/>
    </row>
    <row r="120" spans="1:16" ht="15.6" x14ac:dyDescent="0.3">
      <c r="A120" s="56">
        <v>46171</v>
      </c>
      <c r="B120" s="47">
        <v>9446</v>
      </c>
      <c r="C120" s="47" t="s">
        <v>285</v>
      </c>
      <c r="D120" s="47" t="s">
        <v>286</v>
      </c>
      <c r="E120" s="49">
        <v>12.1</v>
      </c>
      <c r="F120" s="47" t="s">
        <v>377</v>
      </c>
      <c r="G120" s="47">
        <v>12</v>
      </c>
      <c r="H120" s="47"/>
      <c r="I120" s="47">
        <v>86</v>
      </c>
      <c r="J120" s="47">
        <f t="shared" si="0"/>
        <v>74</v>
      </c>
      <c r="K120" s="47">
        <v>1</v>
      </c>
      <c r="L120" s="47">
        <v>85</v>
      </c>
      <c r="M120" s="50">
        <v>50000</v>
      </c>
      <c r="N120" s="51">
        <v>1</v>
      </c>
      <c r="O120" s="50"/>
      <c r="P120" s="50"/>
    </row>
    <row r="121" spans="1:16" ht="15.6" x14ac:dyDescent="0.3">
      <c r="A121" s="56">
        <v>46171</v>
      </c>
      <c r="B121" s="62">
        <v>32142</v>
      </c>
      <c r="C121" s="48" t="s">
        <v>47</v>
      </c>
      <c r="D121" s="48" t="s">
        <v>48</v>
      </c>
      <c r="E121" s="47">
        <v>20.7</v>
      </c>
      <c r="F121" s="47" t="s">
        <v>378</v>
      </c>
      <c r="G121" s="47">
        <v>20</v>
      </c>
      <c r="H121" s="47"/>
      <c r="I121" s="47">
        <v>89</v>
      </c>
      <c r="J121" s="47">
        <f t="shared" si="0"/>
        <v>69</v>
      </c>
      <c r="K121" s="47"/>
      <c r="L121" s="47">
        <v>100</v>
      </c>
      <c r="M121" s="50">
        <v>200000</v>
      </c>
      <c r="N121" s="51">
        <v>1</v>
      </c>
      <c r="O121" s="50"/>
      <c r="P121" s="50"/>
    </row>
    <row r="122" spans="1:16" ht="15.6" x14ac:dyDescent="0.3">
      <c r="A122" s="56">
        <v>46171</v>
      </c>
      <c r="B122" s="47">
        <v>27233</v>
      </c>
      <c r="C122" s="47" t="s">
        <v>193</v>
      </c>
      <c r="D122" s="47" t="s">
        <v>194</v>
      </c>
      <c r="E122" s="47">
        <v>27.1</v>
      </c>
      <c r="F122" s="47" t="s">
        <v>378</v>
      </c>
      <c r="G122" s="47">
        <v>28</v>
      </c>
      <c r="H122" s="47"/>
      <c r="I122" s="47">
        <v>108</v>
      </c>
      <c r="J122" s="47">
        <f t="shared" si="0"/>
        <v>80</v>
      </c>
      <c r="K122" s="47"/>
      <c r="L122" s="47">
        <v>60</v>
      </c>
      <c r="M122" s="50"/>
      <c r="N122" s="51">
        <v>1</v>
      </c>
      <c r="O122" s="50"/>
      <c r="P122" s="50"/>
    </row>
    <row r="123" spans="1:16" ht="15.6" x14ac:dyDescent="0.3">
      <c r="A123" s="56">
        <v>46171</v>
      </c>
      <c r="B123" s="47">
        <v>20941</v>
      </c>
      <c r="C123" s="47" t="s">
        <v>319</v>
      </c>
      <c r="D123" s="47" t="s">
        <v>320</v>
      </c>
      <c r="E123" s="47">
        <v>23.6</v>
      </c>
      <c r="F123" s="47" t="s">
        <v>378</v>
      </c>
      <c r="G123" s="47">
        <v>24</v>
      </c>
      <c r="H123" s="47"/>
      <c r="I123" s="47">
        <v>99</v>
      </c>
      <c r="J123" s="47">
        <f t="shared" si="0"/>
        <v>75</v>
      </c>
      <c r="K123" s="47"/>
      <c r="L123" s="47">
        <v>80</v>
      </c>
      <c r="M123" s="50"/>
      <c r="N123" s="51">
        <v>1</v>
      </c>
      <c r="O123" s="50"/>
      <c r="P123" s="50"/>
    </row>
    <row r="124" spans="1:16" ht="15.6" x14ac:dyDescent="0.3">
      <c r="A124" s="56">
        <v>46171</v>
      </c>
      <c r="B124" s="47">
        <v>22156</v>
      </c>
      <c r="C124" s="47" t="s">
        <v>231</v>
      </c>
      <c r="D124" s="47" t="s">
        <v>232</v>
      </c>
      <c r="E124" s="47">
        <v>18</v>
      </c>
      <c r="F124" s="47" t="s">
        <v>378</v>
      </c>
      <c r="G124" s="47">
        <v>18</v>
      </c>
      <c r="H124" s="47"/>
      <c r="I124" s="47">
        <v>106</v>
      </c>
      <c r="J124" s="47">
        <f t="shared" si="0"/>
        <v>88</v>
      </c>
      <c r="K124" s="47"/>
      <c r="L124" s="47">
        <v>50</v>
      </c>
      <c r="M124" s="50"/>
      <c r="N124" s="51">
        <v>1</v>
      </c>
      <c r="O124" s="50"/>
      <c r="P124" s="50"/>
    </row>
    <row r="125" spans="1:16" ht="15.6" x14ac:dyDescent="0.3">
      <c r="A125" s="56">
        <v>46179</v>
      </c>
      <c r="B125" s="57">
        <v>4080</v>
      </c>
      <c r="C125" s="48" t="s">
        <v>191</v>
      </c>
      <c r="D125" s="48" t="s">
        <v>106</v>
      </c>
      <c r="E125" s="77">
        <v>15.1</v>
      </c>
      <c r="F125" s="57" t="s">
        <v>484</v>
      </c>
      <c r="G125" s="79">
        <v>16</v>
      </c>
      <c r="H125" s="47"/>
      <c r="I125" s="47">
        <v>88</v>
      </c>
      <c r="J125" s="47">
        <f t="shared" si="0"/>
        <v>72</v>
      </c>
      <c r="K125" s="47"/>
      <c r="L125" s="47">
        <v>75</v>
      </c>
      <c r="M125" s="50"/>
      <c r="N125" s="51">
        <v>1</v>
      </c>
      <c r="O125" s="50"/>
      <c r="P125" s="50"/>
    </row>
    <row r="126" spans="1:16" ht="15.6" x14ac:dyDescent="0.3">
      <c r="A126" s="56">
        <v>46179</v>
      </c>
      <c r="B126" s="57">
        <v>17043</v>
      </c>
      <c r="C126" s="48" t="s">
        <v>118</v>
      </c>
      <c r="D126" s="48" t="s">
        <v>119</v>
      </c>
      <c r="E126" s="76">
        <v>17.899999999999999</v>
      </c>
      <c r="F126" s="57" t="s">
        <v>484</v>
      </c>
      <c r="G126" s="79">
        <v>20</v>
      </c>
      <c r="H126" s="47"/>
      <c r="I126" s="47">
        <v>96</v>
      </c>
      <c r="J126" s="47">
        <v>78</v>
      </c>
      <c r="K126" s="47"/>
      <c r="L126" s="47">
        <v>50</v>
      </c>
      <c r="M126" s="50"/>
      <c r="N126" s="51">
        <v>1</v>
      </c>
      <c r="O126" s="50"/>
      <c r="P126" s="50"/>
    </row>
    <row r="127" spans="1:16" ht="15.6" x14ac:dyDescent="0.3">
      <c r="A127" s="56">
        <v>46179</v>
      </c>
      <c r="B127" s="57">
        <v>7891</v>
      </c>
      <c r="C127" s="48" t="s">
        <v>220</v>
      </c>
      <c r="D127" s="48" t="s">
        <v>221</v>
      </c>
      <c r="E127" s="76">
        <v>18.7</v>
      </c>
      <c r="F127" s="57" t="s">
        <v>485</v>
      </c>
      <c r="G127" s="79">
        <v>18</v>
      </c>
      <c r="H127" s="47"/>
      <c r="I127" s="47">
        <v>91</v>
      </c>
      <c r="J127" s="47">
        <v>73</v>
      </c>
      <c r="K127" s="47"/>
      <c r="L127" s="47">
        <v>70</v>
      </c>
      <c r="M127" s="50"/>
      <c r="N127" s="51">
        <v>1</v>
      </c>
      <c r="O127" s="50"/>
      <c r="P127" s="50"/>
    </row>
    <row r="128" spans="1:16" ht="15.6" x14ac:dyDescent="0.3">
      <c r="A128" s="56">
        <v>46179</v>
      </c>
      <c r="B128" s="57">
        <v>12724</v>
      </c>
      <c r="C128" s="48" t="s">
        <v>460</v>
      </c>
      <c r="D128" s="48" t="s">
        <v>246</v>
      </c>
      <c r="E128" s="76">
        <v>10.1</v>
      </c>
      <c r="F128" s="57" t="s">
        <v>484</v>
      </c>
      <c r="G128" s="80">
        <v>10</v>
      </c>
      <c r="H128" s="47"/>
      <c r="I128" s="47">
        <v>90</v>
      </c>
      <c r="J128" s="47">
        <v>80</v>
      </c>
      <c r="K128" s="47"/>
      <c r="L128" s="47">
        <v>45</v>
      </c>
      <c r="M128" s="50"/>
      <c r="N128" s="51">
        <v>1</v>
      </c>
      <c r="O128" s="50"/>
      <c r="P128" s="50"/>
    </row>
    <row r="129" spans="1:16" ht="15.6" x14ac:dyDescent="0.3">
      <c r="A129" s="56">
        <v>46179</v>
      </c>
      <c r="B129" s="61">
        <v>21865</v>
      </c>
      <c r="C129" s="53" t="s">
        <v>107</v>
      </c>
      <c r="D129" s="53" t="s">
        <v>108</v>
      </c>
      <c r="E129" s="76">
        <v>15.7</v>
      </c>
      <c r="F129" s="57" t="s">
        <v>484</v>
      </c>
      <c r="G129" s="80">
        <v>17</v>
      </c>
      <c r="H129" s="47"/>
      <c r="I129" s="47">
        <v>83</v>
      </c>
      <c r="J129" s="47">
        <v>68</v>
      </c>
      <c r="K129" s="47"/>
      <c r="L129" s="47">
        <v>90</v>
      </c>
      <c r="M129" s="50">
        <v>140000</v>
      </c>
      <c r="N129" s="51">
        <v>1</v>
      </c>
      <c r="O129" s="50"/>
      <c r="P129" s="50"/>
    </row>
    <row r="130" spans="1:16" ht="15.6" x14ac:dyDescent="0.3">
      <c r="A130" s="56">
        <v>46179</v>
      </c>
      <c r="B130" s="57">
        <v>15107</v>
      </c>
      <c r="C130" s="48" t="s">
        <v>153</v>
      </c>
      <c r="D130" s="48" t="s">
        <v>154</v>
      </c>
      <c r="E130" s="76">
        <v>15.2</v>
      </c>
      <c r="F130" s="57" t="s">
        <v>484</v>
      </c>
      <c r="G130" s="79">
        <v>16</v>
      </c>
      <c r="H130" s="47"/>
      <c r="I130" s="47">
        <v>104</v>
      </c>
      <c r="J130" s="47">
        <v>88</v>
      </c>
      <c r="K130" s="47">
        <v>1</v>
      </c>
      <c r="L130" s="47">
        <v>30</v>
      </c>
      <c r="M130" s="50"/>
      <c r="N130" s="51">
        <v>1</v>
      </c>
      <c r="O130" s="50"/>
      <c r="P130" s="50">
        <v>180000</v>
      </c>
    </row>
    <row r="131" spans="1:16" ht="15.6" x14ac:dyDescent="0.3">
      <c r="A131" s="56">
        <v>46179</v>
      </c>
      <c r="B131" s="60">
        <v>18908</v>
      </c>
      <c r="C131" s="53" t="s">
        <v>190</v>
      </c>
      <c r="D131" s="53" t="s">
        <v>88</v>
      </c>
      <c r="E131" s="76">
        <v>10.9</v>
      </c>
      <c r="F131" s="57" t="s">
        <v>484</v>
      </c>
      <c r="G131" s="79">
        <v>11</v>
      </c>
      <c r="H131" s="47"/>
      <c r="I131" s="47">
        <v>77</v>
      </c>
      <c r="J131" s="47">
        <v>66</v>
      </c>
      <c r="K131" s="47"/>
      <c r="L131" s="47">
        <v>95</v>
      </c>
      <c r="M131" s="50">
        <v>180000</v>
      </c>
      <c r="N131" s="51">
        <v>1</v>
      </c>
      <c r="O131" s="50"/>
      <c r="P131" s="50"/>
    </row>
    <row r="132" spans="1:16" ht="15.6" x14ac:dyDescent="0.3">
      <c r="A132" s="56">
        <v>46179</v>
      </c>
      <c r="B132" s="58">
        <v>28433</v>
      </c>
      <c r="C132" s="48" t="s">
        <v>353</v>
      </c>
      <c r="D132" s="48" t="s">
        <v>354</v>
      </c>
      <c r="E132" s="76">
        <v>23.3</v>
      </c>
      <c r="F132" s="57" t="s">
        <v>485</v>
      </c>
      <c r="G132" s="79">
        <v>24</v>
      </c>
      <c r="H132" s="47"/>
      <c r="I132" s="47">
        <v>98</v>
      </c>
      <c r="J132" s="47">
        <v>74</v>
      </c>
      <c r="K132" s="47">
        <v>1</v>
      </c>
      <c r="L132" s="47">
        <v>65</v>
      </c>
      <c r="M132" s="50"/>
      <c r="N132" s="51">
        <v>1</v>
      </c>
      <c r="O132" s="50"/>
      <c r="P132" s="50"/>
    </row>
    <row r="133" spans="1:16" ht="15.6" x14ac:dyDescent="0.3">
      <c r="A133" s="56">
        <v>46179</v>
      </c>
      <c r="B133" s="47">
        <v>9446</v>
      </c>
      <c r="C133" s="47" t="s">
        <v>285</v>
      </c>
      <c r="D133" s="47" t="s">
        <v>286</v>
      </c>
      <c r="E133" s="76">
        <v>11.8</v>
      </c>
      <c r="F133" s="57" t="s">
        <v>484</v>
      </c>
      <c r="G133" s="79">
        <v>12</v>
      </c>
      <c r="H133" s="47"/>
      <c r="I133" s="47">
        <v>88</v>
      </c>
      <c r="J133" s="47">
        <v>76</v>
      </c>
      <c r="K133" s="47">
        <v>1</v>
      </c>
      <c r="L133" s="47">
        <v>55</v>
      </c>
      <c r="M133" s="50"/>
      <c r="N133" s="51">
        <v>1</v>
      </c>
      <c r="O133" s="50"/>
      <c r="P133" s="50"/>
    </row>
    <row r="134" spans="1:16" ht="15.6" x14ac:dyDescent="0.3">
      <c r="A134" s="56">
        <v>46179</v>
      </c>
      <c r="B134" s="47">
        <v>27233</v>
      </c>
      <c r="C134" s="47" t="s">
        <v>193</v>
      </c>
      <c r="D134" s="47" t="s">
        <v>194</v>
      </c>
      <c r="E134" s="76">
        <v>27.2</v>
      </c>
      <c r="F134" s="57" t="s">
        <v>485</v>
      </c>
      <c r="G134" s="79">
        <v>28</v>
      </c>
      <c r="H134" s="47"/>
      <c r="I134" s="47">
        <v>110</v>
      </c>
      <c r="J134" s="47">
        <v>82</v>
      </c>
      <c r="K134" s="47"/>
      <c r="L134" s="47">
        <v>35</v>
      </c>
      <c r="M134" s="50"/>
      <c r="N134" s="51">
        <v>1</v>
      </c>
      <c r="O134" s="50"/>
      <c r="P134" s="50"/>
    </row>
    <row r="135" spans="1:16" ht="15.6" x14ac:dyDescent="0.3">
      <c r="A135" s="56">
        <v>46179</v>
      </c>
      <c r="B135" s="72">
        <v>24140</v>
      </c>
      <c r="C135" s="73" t="s">
        <v>363</v>
      </c>
      <c r="D135" s="73" t="s">
        <v>119</v>
      </c>
      <c r="E135" s="76">
        <v>23.3</v>
      </c>
      <c r="F135" s="57" t="s">
        <v>485</v>
      </c>
      <c r="G135" s="80">
        <v>24</v>
      </c>
      <c r="H135" s="47"/>
      <c r="I135" s="47">
        <v>102</v>
      </c>
      <c r="J135" s="47">
        <v>78</v>
      </c>
      <c r="K135" s="47"/>
      <c r="L135" s="47">
        <v>50</v>
      </c>
      <c r="M135" s="50"/>
      <c r="N135" s="51">
        <v>1</v>
      </c>
      <c r="O135" s="50"/>
      <c r="P135" s="50"/>
    </row>
    <row r="136" spans="1:16" ht="15.6" x14ac:dyDescent="0.3">
      <c r="A136" s="56">
        <v>46179</v>
      </c>
      <c r="B136" s="47">
        <v>22156</v>
      </c>
      <c r="C136" s="47" t="s">
        <v>231</v>
      </c>
      <c r="D136" s="47" t="s">
        <v>232</v>
      </c>
      <c r="E136" s="76">
        <v>18</v>
      </c>
      <c r="F136" s="57" t="s">
        <v>485</v>
      </c>
      <c r="G136" s="79">
        <v>18</v>
      </c>
      <c r="H136" s="47"/>
      <c r="I136" s="47">
        <v>92</v>
      </c>
      <c r="J136" s="47">
        <v>74</v>
      </c>
      <c r="K136" s="47"/>
      <c r="L136" s="47">
        <v>65</v>
      </c>
      <c r="M136" s="50"/>
      <c r="N136" s="51">
        <v>1</v>
      </c>
      <c r="O136" s="50"/>
      <c r="P136" s="50"/>
    </row>
    <row r="137" spans="1:16" ht="15.6" x14ac:dyDescent="0.3">
      <c r="A137" s="56">
        <v>46179</v>
      </c>
      <c r="B137" s="57">
        <v>16260</v>
      </c>
      <c r="C137" s="48" t="s">
        <v>270</v>
      </c>
      <c r="D137" s="48" t="s">
        <v>271</v>
      </c>
      <c r="E137" s="76">
        <v>16.7</v>
      </c>
      <c r="F137" s="57" t="s">
        <v>484</v>
      </c>
      <c r="G137" s="79">
        <v>18</v>
      </c>
      <c r="H137" s="47"/>
      <c r="I137" s="47">
        <v>89</v>
      </c>
      <c r="J137" s="47">
        <v>71</v>
      </c>
      <c r="K137" s="47"/>
      <c r="L137" s="47">
        <v>80</v>
      </c>
      <c r="M137" s="50">
        <v>80000</v>
      </c>
      <c r="N137" s="51">
        <v>1</v>
      </c>
      <c r="O137" s="50"/>
      <c r="P137" s="50"/>
    </row>
    <row r="138" spans="1:16" ht="15.6" x14ac:dyDescent="0.3">
      <c r="A138" s="56">
        <v>46179</v>
      </c>
      <c r="B138" s="57">
        <v>16552</v>
      </c>
      <c r="C138" s="48" t="s">
        <v>272</v>
      </c>
      <c r="D138" s="48" t="s">
        <v>273</v>
      </c>
      <c r="E138" s="76">
        <v>11.6</v>
      </c>
      <c r="F138" s="57" t="s">
        <v>484</v>
      </c>
      <c r="G138" s="79">
        <v>12</v>
      </c>
      <c r="H138" s="47"/>
      <c r="I138" s="47">
        <v>88</v>
      </c>
      <c r="J138" s="47">
        <v>76</v>
      </c>
      <c r="K138" s="47"/>
      <c r="L138" s="47">
        <v>55</v>
      </c>
      <c r="M138" s="50"/>
      <c r="N138" s="51">
        <v>1</v>
      </c>
      <c r="O138" s="50"/>
      <c r="P138" s="50"/>
    </row>
    <row r="139" spans="1:16" ht="15.6" x14ac:dyDescent="0.3">
      <c r="A139" s="56">
        <v>46179</v>
      </c>
      <c r="B139" s="57">
        <v>30087</v>
      </c>
      <c r="C139" s="48" t="s">
        <v>149</v>
      </c>
      <c r="D139" s="48" t="s">
        <v>150</v>
      </c>
      <c r="E139" s="76">
        <v>11.4</v>
      </c>
      <c r="F139" s="57" t="s">
        <v>484</v>
      </c>
      <c r="G139" s="80">
        <v>12</v>
      </c>
      <c r="H139" s="47"/>
      <c r="I139" s="47">
        <v>81</v>
      </c>
      <c r="J139" s="47">
        <v>69</v>
      </c>
      <c r="K139" s="47">
        <v>1</v>
      </c>
      <c r="L139" s="47">
        <v>85</v>
      </c>
      <c r="M139" s="50">
        <v>100000</v>
      </c>
      <c r="N139" s="51">
        <v>1</v>
      </c>
      <c r="O139" s="50"/>
      <c r="P139" s="50"/>
    </row>
    <row r="140" spans="1:16" ht="15.6" x14ac:dyDescent="0.3">
      <c r="A140" s="56">
        <v>46179</v>
      </c>
      <c r="B140" s="62">
        <v>32142</v>
      </c>
      <c r="C140" s="48" t="s">
        <v>47</v>
      </c>
      <c r="D140" s="48" t="s">
        <v>48</v>
      </c>
      <c r="E140" s="76">
        <v>19.5</v>
      </c>
      <c r="F140" s="57" t="s">
        <v>485</v>
      </c>
      <c r="G140" s="79">
        <v>19</v>
      </c>
      <c r="H140" s="47"/>
      <c r="I140" s="47">
        <v>107</v>
      </c>
      <c r="J140" s="47">
        <v>88</v>
      </c>
      <c r="K140" s="47"/>
      <c r="L140" s="47">
        <v>30</v>
      </c>
      <c r="M140" s="50"/>
      <c r="N140" s="51">
        <v>1</v>
      </c>
      <c r="O140" s="50"/>
      <c r="P140" s="50"/>
    </row>
    <row r="141" spans="1:16" ht="15.6" x14ac:dyDescent="0.3">
      <c r="A141" s="56">
        <v>46179</v>
      </c>
      <c r="B141" s="47">
        <v>20941</v>
      </c>
      <c r="C141" s="47" t="s">
        <v>319</v>
      </c>
      <c r="D141" s="47" t="s">
        <v>320</v>
      </c>
      <c r="E141" s="76">
        <v>23.6</v>
      </c>
      <c r="F141" s="57" t="s">
        <v>485</v>
      </c>
      <c r="G141" s="81">
        <v>24</v>
      </c>
      <c r="H141" s="47"/>
      <c r="I141" s="47">
        <v>105</v>
      </c>
      <c r="J141" s="47">
        <v>81</v>
      </c>
      <c r="K141" s="47"/>
      <c r="L141" s="47">
        <v>40</v>
      </c>
      <c r="M141" s="50"/>
      <c r="N141" s="51">
        <v>1</v>
      </c>
      <c r="O141" s="50"/>
      <c r="P141" s="50"/>
    </row>
    <row r="142" spans="1:16" ht="15.6" x14ac:dyDescent="0.3">
      <c r="A142" s="56">
        <v>46179</v>
      </c>
      <c r="B142" s="57">
        <v>26953</v>
      </c>
      <c r="C142" s="48" t="s">
        <v>120</v>
      </c>
      <c r="D142" s="48" t="s">
        <v>121</v>
      </c>
      <c r="E142" s="76">
        <v>9.1999999999999993</v>
      </c>
      <c r="F142" s="57" t="s">
        <v>484</v>
      </c>
      <c r="G142" s="82">
        <v>9</v>
      </c>
      <c r="H142" s="47"/>
      <c r="I142" s="47">
        <v>85</v>
      </c>
      <c r="J142" s="47">
        <v>76</v>
      </c>
      <c r="K142" s="47"/>
      <c r="L142" s="47">
        <v>55</v>
      </c>
      <c r="M142" s="50"/>
      <c r="N142" s="51">
        <v>1</v>
      </c>
      <c r="O142" s="50"/>
      <c r="P142" s="50"/>
    </row>
    <row r="143" spans="1:16" ht="15.6" x14ac:dyDescent="0.3">
      <c r="A143" s="56">
        <v>46179</v>
      </c>
      <c r="B143" s="58">
        <v>14084</v>
      </c>
      <c r="C143" s="48" t="s">
        <v>39</v>
      </c>
      <c r="D143" s="48" t="s">
        <v>40</v>
      </c>
      <c r="E143" s="49">
        <v>14.1</v>
      </c>
      <c r="F143" s="62" t="s">
        <v>484</v>
      </c>
      <c r="G143" s="47">
        <v>15</v>
      </c>
      <c r="H143" s="47"/>
      <c r="I143" s="47">
        <v>90</v>
      </c>
      <c r="J143" s="47">
        <v>75</v>
      </c>
      <c r="K143" s="47">
        <v>1</v>
      </c>
      <c r="L143" s="47">
        <v>60</v>
      </c>
      <c r="M143" s="50"/>
      <c r="N143" s="51">
        <v>1</v>
      </c>
      <c r="O143" s="50"/>
      <c r="P143" s="50"/>
    </row>
    <row r="144" spans="1:16" ht="15.6" x14ac:dyDescent="0.3">
      <c r="A144" s="56">
        <v>46179</v>
      </c>
      <c r="B144" s="57">
        <v>28225</v>
      </c>
      <c r="C144" s="48" t="s">
        <v>222</v>
      </c>
      <c r="D144" s="48" t="s">
        <v>233</v>
      </c>
      <c r="E144" s="47">
        <v>13.3</v>
      </c>
      <c r="F144" s="62" t="s">
        <v>484</v>
      </c>
      <c r="G144" s="47">
        <v>14</v>
      </c>
      <c r="H144" s="47"/>
      <c r="I144" s="47">
        <v>79</v>
      </c>
      <c r="J144" s="47">
        <v>65</v>
      </c>
      <c r="K144" s="47">
        <v>1</v>
      </c>
      <c r="L144" s="47">
        <v>100</v>
      </c>
      <c r="M144" s="50">
        <v>220000</v>
      </c>
      <c r="N144" s="51">
        <v>1</v>
      </c>
      <c r="O144" s="50"/>
      <c r="P144" s="50"/>
    </row>
    <row r="145" spans="1:16" ht="15.6" x14ac:dyDescent="0.3">
      <c r="A145" s="56">
        <v>46186</v>
      </c>
      <c r="B145" s="60">
        <v>18908</v>
      </c>
      <c r="C145" s="53" t="s">
        <v>190</v>
      </c>
      <c r="D145" s="53" t="s">
        <v>88</v>
      </c>
      <c r="E145" s="76">
        <v>10.4</v>
      </c>
      <c r="F145" s="57" t="s">
        <v>484</v>
      </c>
      <c r="G145" s="79">
        <v>10</v>
      </c>
      <c r="H145" s="47"/>
      <c r="I145" s="47">
        <v>82</v>
      </c>
      <c r="J145" s="47">
        <f t="shared" ref="J145:J149" si="1">I145-G145</f>
        <v>72</v>
      </c>
      <c r="K145" s="47"/>
      <c r="L145" s="47">
        <v>90</v>
      </c>
      <c r="M145" s="50">
        <v>50000</v>
      </c>
      <c r="N145" s="51">
        <v>1</v>
      </c>
      <c r="O145" s="50"/>
      <c r="P145" s="50"/>
    </row>
    <row r="146" spans="1:16" ht="15.6" x14ac:dyDescent="0.3">
      <c r="A146" s="56">
        <v>46186</v>
      </c>
      <c r="B146" s="57">
        <v>28225</v>
      </c>
      <c r="C146" s="48" t="s">
        <v>222</v>
      </c>
      <c r="D146" s="48" t="s">
        <v>233</v>
      </c>
      <c r="E146" s="47">
        <v>12.8</v>
      </c>
      <c r="F146" s="62" t="s">
        <v>484</v>
      </c>
      <c r="G146" s="47">
        <v>13</v>
      </c>
      <c r="H146" s="47"/>
      <c r="I146" s="47">
        <v>93</v>
      </c>
      <c r="J146" s="47">
        <f t="shared" si="1"/>
        <v>80</v>
      </c>
      <c r="K146" s="47"/>
      <c r="L146" s="47">
        <v>55</v>
      </c>
      <c r="M146" s="50"/>
      <c r="N146" s="51">
        <v>1</v>
      </c>
      <c r="O146" s="50"/>
      <c r="P146" s="50"/>
    </row>
    <row r="147" spans="1:16" ht="15.6" x14ac:dyDescent="0.3">
      <c r="A147" s="56">
        <v>46186</v>
      </c>
      <c r="B147" s="58">
        <v>28433</v>
      </c>
      <c r="C147" s="48" t="s">
        <v>353</v>
      </c>
      <c r="D147" s="48" t="s">
        <v>354</v>
      </c>
      <c r="E147" s="76">
        <v>23.1</v>
      </c>
      <c r="F147" s="57" t="s">
        <v>485</v>
      </c>
      <c r="G147" s="79">
        <v>23</v>
      </c>
      <c r="H147" s="47"/>
      <c r="I147" s="47">
        <v>98</v>
      </c>
      <c r="J147" s="47">
        <f t="shared" si="1"/>
        <v>75</v>
      </c>
      <c r="K147" s="47"/>
      <c r="L147" s="47">
        <v>80</v>
      </c>
      <c r="M147" s="50"/>
      <c r="N147" s="51">
        <v>1</v>
      </c>
      <c r="O147" s="50"/>
      <c r="P147" s="50"/>
    </row>
    <row r="148" spans="1:16" ht="15.6" x14ac:dyDescent="0.3">
      <c r="A148" s="56">
        <v>46186</v>
      </c>
      <c r="B148" s="57">
        <v>7891</v>
      </c>
      <c r="C148" s="48" t="s">
        <v>220</v>
      </c>
      <c r="D148" s="48" t="s">
        <v>221</v>
      </c>
      <c r="E148" s="76">
        <v>18.7</v>
      </c>
      <c r="F148" s="57" t="s">
        <v>485</v>
      </c>
      <c r="G148" s="79">
        <v>18</v>
      </c>
      <c r="H148" s="47"/>
      <c r="I148" s="47">
        <v>92</v>
      </c>
      <c r="J148" s="47">
        <f t="shared" si="1"/>
        <v>74</v>
      </c>
      <c r="K148" s="47"/>
      <c r="L148" s="47">
        <v>85</v>
      </c>
      <c r="M148" s="50"/>
      <c r="N148" s="51">
        <v>1</v>
      </c>
      <c r="O148" s="50"/>
      <c r="P148" s="50"/>
    </row>
    <row r="149" spans="1:16" ht="15.6" x14ac:dyDescent="0.3">
      <c r="A149" s="56">
        <v>46186</v>
      </c>
      <c r="B149" s="57">
        <v>30572</v>
      </c>
      <c r="C149" s="48" t="s">
        <v>225</v>
      </c>
      <c r="D149" s="48" t="s">
        <v>226</v>
      </c>
      <c r="E149" s="47">
        <v>22.3</v>
      </c>
      <c r="F149" s="47" t="s">
        <v>378</v>
      </c>
      <c r="G149" s="47">
        <v>20</v>
      </c>
      <c r="H149" s="47"/>
      <c r="I149" s="47">
        <v>97</v>
      </c>
      <c r="J149" s="47">
        <f t="shared" si="1"/>
        <v>77</v>
      </c>
      <c r="K149" s="47"/>
      <c r="L149" s="47">
        <v>70</v>
      </c>
      <c r="M149" s="50"/>
      <c r="N149" s="51">
        <v>1</v>
      </c>
      <c r="O149" s="50"/>
      <c r="P149" s="50"/>
    </row>
    <row r="150" spans="1:16" ht="15.6" x14ac:dyDescent="0.3">
      <c r="A150" s="56">
        <v>46186</v>
      </c>
      <c r="B150" s="57">
        <v>30087</v>
      </c>
      <c r="C150" s="48" t="s">
        <v>149</v>
      </c>
      <c r="D150" s="48" t="s">
        <v>150</v>
      </c>
      <c r="E150" s="76">
        <v>11.4</v>
      </c>
      <c r="F150" s="57" t="s">
        <v>484</v>
      </c>
      <c r="G150" s="80">
        <v>12</v>
      </c>
      <c r="H150" s="47"/>
      <c r="I150" s="47">
        <v>81</v>
      </c>
      <c r="J150" s="47">
        <f>I150-G150</f>
        <v>69</v>
      </c>
      <c r="K150" s="47">
        <v>1</v>
      </c>
      <c r="L150" s="47">
        <v>100</v>
      </c>
      <c r="M150" s="50">
        <v>160000</v>
      </c>
      <c r="N150" s="51">
        <v>1</v>
      </c>
      <c r="O150" s="50"/>
      <c r="P150" s="50"/>
    </row>
    <row r="151" spans="1:16" ht="15.6" x14ac:dyDescent="0.3">
      <c r="A151" s="56">
        <v>46186</v>
      </c>
      <c r="B151" s="57">
        <v>17043</v>
      </c>
      <c r="C151" s="48" t="s">
        <v>118</v>
      </c>
      <c r="D151" s="48" t="s">
        <v>119</v>
      </c>
      <c r="E151" s="76">
        <v>17.899999999999999</v>
      </c>
      <c r="F151" s="57" t="s">
        <v>485</v>
      </c>
      <c r="G151" s="79">
        <v>18</v>
      </c>
      <c r="H151" s="47"/>
      <c r="I151" s="47">
        <v>94</v>
      </c>
      <c r="J151" s="47">
        <f t="shared" ref="J151:J207" si="2">I151-G151</f>
        <v>76</v>
      </c>
      <c r="K151" s="47"/>
      <c r="L151" s="47">
        <v>75</v>
      </c>
      <c r="M151" s="50"/>
      <c r="N151" s="51">
        <v>1</v>
      </c>
      <c r="O151" s="50"/>
      <c r="P151" s="50"/>
    </row>
    <row r="152" spans="1:16" ht="15.6" x14ac:dyDescent="0.3">
      <c r="A152" s="56">
        <v>46186</v>
      </c>
      <c r="B152" s="57">
        <v>15107</v>
      </c>
      <c r="C152" s="48" t="s">
        <v>153</v>
      </c>
      <c r="D152" s="48" t="s">
        <v>154</v>
      </c>
      <c r="E152" s="76">
        <v>16.600000000000001</v>
      </c>
      <c r="F152" s="57" t="s">
        <v>484</v>
      </c>
      <c r="G152" s="79">
        <v>18</v>
      </c>
      <c r="H152" s="47"/>
      <c r="I152" s="47">
        <v>96</v>
      </c>
      <c r="J152" s="47">
        <f t="shared" si="2"/>
        <v>78</v>
      </c>
      <c r="K152" s="47">
        <v>1</v>
      </c>
      <c r="L152" s="47">
        <v>65</v>
      </c>
      <c r="M152" s="50"/>
      <c r="N152" s="51">
        <v>1</v>
      </c>
      <c r="O152" s="50"/>
      <c r="P152" s="50">
        <v>140000</v>
      </c>
    </row>
    <row r="153" spans="1:16" ht="15.6" x14ac:dyDescent="0.3">
      <c r="A153" s="56">
        <v>46186</v>
      </c>
      <c r="B153" s="47">
        <v>24283</v>
      </c>
      <c r="C153" s="47" t="s">
        <v>287</v>
      </c>
      <c r="D153" s="47" t="s">
        <v>288</v>
      </c>
      <c r="E153" s="47">
        <v>26</v>
      </c>
      <c r="F153" s="47" t="s">
        <v>378</v>
      </c>
      <c r="G153" s="47">
        <v>28</v>
      </c>
      <c r="H153" s="47"/>
      <c r="I153" s="47">
        <v>104</v>
      </c>
      <c r="J153" s="47">
        <f t="shared" si="2"/>
        <v>76</v>
      </c>
      <c r="K153" s="47"/>
      <c r="L153" s="47">
        <v>75</v>
      </c>
      <c r="M153" s="50"/>
      <c r="N153" s="51">
        <v>1</v>
      </c>
      <c r="O153" s="50"/>
      <c r="P153" s="50"/>
    </row>
    <row r="154" spans="1:16" ht="15.6" x14ac:dyDescent="0.3">
      <c r="A154" s="56">
        <v>46186</v>
      </c>
      <c r="B154" s="57">
        <v>16552</v>
      </c>
      <c r="C154" s="48" t="s">
        <v>272</v>
      </c>
      <c r="D154" s="48" t="s">
        <v>273</v>
      </c>
      <c r="E154" s="76">
        <v>11.6</v>
      </c>
      <c r="F154" s="57" t="s">
        <v>484</v>
      </c>
      <c r="G154" s="79">
        <v>12</v>
      </c>
      <c r="H154" s="47"/>
      <c r="I154" s="47">
        <v>84</v>
      </c>
      <c r="J154" s="47">
        <f t="shared" si="2"/>
        <v>72</v>
      </c>
      <c r="K154" s="47"/>
      <c r="L154" s="47">
        <v>90</v>
      </c>
      <c r="M154" s="50">
        <v>50000</v>
      </c>
      <c r="N154" s="51">
        <v>1</v>
      </c>
      <c r="O154" s="50"/>
      <c r="P154" s="50"/>
    </row>
    <row r="155" spans="1:16" ht="15.6" x14ac:dyDescent="0.3">
      <c r="A155" s="56">
        <v>46186</v>
      </c>
      <c r="B155" s="47">
        <v>19187</v>
      </c>
      <c r="C155" s="47" t="s">
        <v>328</v>
      </c>
      <c r="D155" s="47" t="s">
        <v>200</v>
      </c>
      <c r="E155" s="47">
        <v>13.3</v>
      </c>
      <c r="F155" s="47" t="s">
        <v>377</v>
      </c>
      <c r="G155" s="47">
        <v>14</v>
      </c>
      <c r="H155" s="47"/>
      <c r="I155" s="47">
        <v>93</v>
      </c>
      <c r="J155" s="47">
        <f t="shared" si="2"/>
        <v>79</v>
      </c>
      <c r="K155" s="47"/>
      <c r="L155" s="47">
        <v>60</v>
      </c>
      <c r="M155" s="50"/>
      <c r="N155" s="51">
        <v>1</v>
      </c>
      <c r="O155" s="50"/>
      <c r="P155" s="50"/>
    </row>
    <row r="156" spans="1:16" ht="15.6" x14ac:dyDescent="0.3">
      <c r="A156" s="56">
        <v>46186</v>
      </c>
      <c r="B156" s="57">
        <v>16260</v>
      </c>
      <c r="C156" s="48" t="s">
        <v>270</v>
      </c>
      <c r="D156" s="48" t="s">
        <v>271</v>
      </c>
      <c r="E156" s="76">
        <v>16.7</v>
      </c>
      <c r="F156" s="48" t="s">
        <v>484</v>
      </c>
      <c r="G156" s="79">
        <v>18</v>
      </c>
      <c r="H156" s="47"/>
      <c r="I156" s="47">
        <v>88</v>
      </c>
      <c r="J156" s="47">
        <f t="shared" si="2"/>
        <v>70</v>
      </c>
      <c r="K156" s="47"/>
      <c r="L156" s="47">
        <v>95</v>
      </c>
      <c r="M156" s="50">
        <v>140000</v>
      </c>
      <c r="N156" s="51">
        <v>1</v>
      </c>
      <c r="O156" s="50"/>
      <c r="P156" s="50"/>
    </row>
    <row r="157" spans="1:16" ht="15.6" x14ac:dyDescent="0.3">
      <c r="A157" s="56">
        <v>46192</v>
      </c>
      <c r="B157" s="57">
        <v>17043</v>
      </c>
      <c r="C157" s="48" t="s">
        <v>118</v>
      </c>
      <c r="D157" s="48" t="s">
        <v>119</v>
      </c>
      <c r="E157" s="99" t="s">
        <v>487</v>
      </c>
      <c r="F157" s="100" t="s">
        <v>485</v>
      </c>
      <c r="G157" s="99" t="s">
        <v>488</v>
      </c>
      <c r="H157" s="47"/>
      <c r="I157" s="47">
        <v>96</v>
      </c>
      <c r="J157" s="47">
        <f t="shared" si="2"/>
        <v>78</v>
      </c>
      <c r="K157" s="47"/>
      <c r="L157" s="47">
        <v>70</v>
      </c>
      <c r="M157" s="50"/>
      <c r="N157" s="51">
        <v>1</v>
      </c>
      <c r="O157" s="50"/>
      <c r="P157" s="50"/>
    </row>
    <row r="158" spans="1:16" ht="15.6" x14ac:dyDescent="0.3">
      <c r="A158" s="56">
        <v>46192</v>
      </c>
      <c r="B158" s="57">
        <v>28225</v>
      </c>
      <c r="C158" s="48" t="s">
        <v>222</v>
      </c>
      <c r="D158" s="48" t="s">
        <v>233</v>
      </c>
      <c r="E158" s="99" t="s">
        <v>490</v>
      </c>
      <c r="F158" s="100" t="s">
        <v>484</v>
      </c>
      <c r="G158" s="99" t="s">
        <v>491</v>
      </c>
      <c r="H158" s="47"/>
      <c r="I158" s="47">
        <v>82</v>
      </c>
      <c r="J158" s="47">
        <f t="shared" si="2"/>
        <v>69</v>
      </c>
      <c r="K158" s="47">
        <v>1</v>
      </c>
      <c r="L158" s="47">
        <v>95</v>
      </c>
      <c r="M158" s="50">
        <v>170000</v>
      </c>
      <c r="N158" s="51">
        <v>1</v>
      </c>
      <c r="O158" s="50"/>
      <c r="P158" s="50">
        <v>170000</v>
      </c>
    </row>
    <row r="159" spans="1:16" ht="15.6" x14ac:dyDescent="0.3">
      <c r="A159" s="56">
        <v>46192</v>
      </c>
      <c r="B159" s="57">
        <v>15107</v>
      </c>
      <c r="C159" s="48" t="s">
        <v>153</v>
      </c>
      <c r="D159" s="48" t="s">
        <v>154</v>
      </c>
      <c r="E159" s="99" t="s">
        <v>492</v>
      </c>
      <c r="F159" s="100" t="s">
        <v>484</v>
      </c>
      <c r="G159" s="99" t="s">
        <v>493</v>
      </c>
      <c r="H159" s="47"/>
      <c r="I159" s="47">
        <v>95</v>
      </c>
      <c r="J159" s="47">
        <f t="shared" si="2"/>
        <v>76</v>
      </c>
      <c r="K159" s="47">
        <v>1</v>
      </c>
      <c r="L159" s="47">
        <v>80</v>
      </c>
      <c r="M159" s="50"/>
      <c r="N159" s="51">
        <v>1</v>
      </c>
      <c r="O159" s="50"/>
      <c r="P159" s="50"/>
    </row>
    <row r="160" spans="1:16" ht="15.6" x14ac:dyDescent="0.3">
      <c r="A160" s="56">
        <v>46192</v>
      </c>
      <c r="B160" s="58">
        <v>28433</v>
      </c>
      <c r="C160" s="48" t="s">
        <v>353</v>
      </c>
      <c r="D160" s="48" t="s">
        <v>354</v>
      </c>
      <c r="E160" s="99" t="s">
        <v>494</v>
      </c>
      <c r="F160" s="100" t="s">
        <v>485</v>
      </c>
      <c r="G160" s="99" t="s">
        <v>495</v>
      </c>
      <c r="H160" s="47"/>
      <c r="I160" s="47">
        <v>117</v>
      </c>
      <c r="J160" s="47">
        <f t="shared" si="2"/>
        <v>94</v>
      </c>
      <c r="K160" s="47">
        <v>1</v>
      </c>
      <c r="L160" s="47">
        <v>40</v>
      </c>
      <c r="M160" s="50"/>
      <c r="N160" s="51">
        <v>1</v>
      </c>
      <c r="O160" s="50"/>
      <c r="P160" s="50"/>
    </row>
    <row r="161" spans="1:16" ht="15.6" x14ac:dyDescent="0.3">
      <c r="A161" s="56">
        <v>46192</v>
      </c>
      <c r="B161" s="61">
        <v>21865</v>
      </c>
      <c r="C161" s="53" t="s">
        <v>107</v>
      </c>
      <c r="D161" s="53" t="s">
        <v>108</v>
      </c>
      <c r="E161" s="99">
        <v>16.100000000000001</v>
      </c>
      <c r="F161" s="100" t="s">
        <v>485</v>
      </c>
      <c r="G161" s="99">
        <v>16</v>
      </c>
      <c r="H161" s="47"/>
      <c r="I161" s="47">
        <v>97</v>
      </c>
      <c r="J161" s="47">
        <f t="shared" si="2"/>
        <v>81</v>
      </c>
      <c r="K161" s="47"/>
      <c r="L161" s="47">
        <v>55</v>
      </c>
      <c r="M161" s="50"/>
      <c r="N161" s="51">
        <v>1</v>
      </c>
      <c r="O161" s="50"/>
      <c r="P161" s="50"/>
    </row>
    <row r="162" spans="1:16" ht="15.6" x14ac:dyDescent="0.3">
      <c r="A162" s="56">
        <v>46192</v>
      </c>
      <c r="B162" s="57">
        <v>30087</v>
      </c>
      <c r="C162" s="48" t="s">
        <v>149</v>
      </c>
      <c r="D162" s="48" t="s">
        <v>150</v>
      </c>
      <c r="E162" s="99" t="s">
        <v>497</v>
      </c>
      <c r="F162" s="100" t="s">
        <v>484</v>
      </c>
      <c r="G162" s="99" t="s">
        <v>498</v>
      </c>
      <c r="H162" s="47"/>
      <c r="I162" s="47">
        <v>80</v>
      </c>
      <c r="J162" s="47">
        <f t="shared" si="2"/>
        <v>68</v>
      </c>
      <c r="K162" s="47">
        <v>1</v>
      </c>
      <c r="L162" s="47">
        <v>100</v>
      </c>
      <c r="M162" s="50">
        <v>190000</v>
      </c>
      <c r="N162" s="51">
        <v>1</v>
      </c>
      <c r="O162" s="50"/>
      <c r="P162" s="50"/>
    </row>
    <row r="163" spans="1:16" ht="15.6" x14ac:dyDescent="0.3">
      <c r="A163" s="56">
        <v>46192</v>
      </c>
      <c r="B163" s="57">
        <v>7891</v>
      </c>
      <c r="C163" s="48" t="s">
        <v>220</v>
      </c>
      <c r="D163" s="48" t="s">
        <v>221</v>
      </c>
      <c r="E163" s="99" t="s">
        <v>500</v>
      </c>
      <c r="F163" s="100" t="s">
        <v>485</v>
      </c>
      <c r="G163" s="99" t="s">
        <v>493</v>
      </c>
      <c r="H163" s="47"/>
      <c r="I163" s="47">
        <v>94</v>
      </c>
      <c r="J163" s="47">
        <f t="shared" si="2"/>
        <v>75</v>
      </c>
      <c r="K163" s="47"/>
      <c r="L163" s="47">
        <v>85</v>
      </c>
      <c r="M163" s="50">
        <v>35000</v>
      </c>
      <c r="N163" s="51">
        <v>1</v>
      </c>
      <c r="O163" s="50"/>
      <c r="P163" s="50"/>
    </row>
    <row r="164" spans="1:16" ht="15.6" x14ac:dyDescent="0.3">
      <c r="A164" s="56">
        <v>46192</v>
      </c>
      <c r="B164" s="47">
        <v>24283</v>
      </c>
      <c r="C164" s="47" t="s">
        <v>287</v>
      </c>
      <c r="D164" s="47" t="s">
        <v>288</v>
      </c>
      <c r="E164" s="99" t="s">
        <v>501</v>
      </c>
      <c r="F164" s="100" t="s">
        <v>485</v>
      </c>
      <c r="G164" s="99" t="s">
        <v>502</v>
      </c>
      <c r="H164" s="47"/>
      <c r="I164" s="47">
        <v>113</v>
      </c>
      <c r="J164" s="47">
        <f t="shared" si="2"/>
        <v>85</v>
      </c>
      <c r="K164" s="47"/>
      <c r="L164" s="47">
        <v>50</v>
      </c>
      <c r="M164" s="98"/>
      <c r="N164" s="51">
        <v>1</v>
      </c>
      <c r="O164" s="50"/>
      <c r="P164" s="50"/>
    </row>
    <row r="165" spans="1:16" ht="15.6" x14ac:dyDescent="0.3">
      <c r="A165" s="56">
        <v>46192</v>
      </c>
      <c r="B165" s="57">
        <v>16552</v>
      </c>
      <c r="C165" s="48" t="s">
        <v>272</v>
      </c>
      <c r="D165" s="48" t="s">
        <v>273</v>
      </c>
      <c r="E165" s="99" t="s">
        <v>504</v>
      </c>
      <c r="F165" s="100" t="s">
        <v>484</v>
      </c>
      <c r="G165" s="99" t="s">
        <v>498</v>
      </c>
      <c r="H165" s="47"/>
      <c r="I165" s="47">
        <v>92</v>
      </c>
      <c r="J165" s="47">
        <f t="shared" si="2"/>
        <v>80</v>
      </c>
      <c r="K165" s="47"/>
      <c r="L165" s="47">
        <v>60</v>
      </c>
      <c r="M165" s="98"/>
      <c r="N165" s="51">
        <v>1</v>
      </c>
      <c r="O165" s="50"/>
      <c r="P165" s="50"/>
    </row>
    <row r="166" spans="1:16" ht="15.6" x14ac:dyDescent="0.3">
      <c r="A166" s="56">
        <v>46192</v>
      </c>
      <c r="B166" s="57">
        <v>3936</v>
      </c>
      <c r="C166" s="48" t="s">
        <v>462</v>
      </c>
      <c r="D166" s="48" t="s">
        <v>463</v>
      </c>
      <c r="E166" s="99" t="s">
        <v>505</v>
      </c>
      <c r="F166" s="100" t="s">
        <v>484</v>
      </c>
      <c r="G166" s="99" t="s">
        <v>506</v>
      </c>
      <c r="H166" s="47"/>
      <c r="I166" s="47">
        <v>105</v>
      </c>
      <c r="J166" s="47">
        <f t="shared" si="2"/>
        <v>85</v>
      </c>
      <c r="K166" s="47"/>
      <c r="L166" s="47">
        <v>50</v>
      </c>
      <c r="M166" s="98"/>
      <c r="N166" s="51">
        <v>1</v>
      </c>
      <c r="O166" s="50"/>
      <c r="P166" s="50"/>
    </row>
    <row r="167" spans="1:16" ht="15.6" x14ac:dyDescent="0.3">
      <c r="A167" s="56">
        <v>46192</v>
      </c>
      <c r="B167" s="57">
        <v>13625</v>
      </c>
      <c r="C167" s="48" t="s">
        <v>222</v>
      </c>
      <c r="D167" s="48" t="s">
        <v>223</v>
      </c>
      <c r="E167" s="99" t="s">
        <v>508</v>
      </c>
      <c r="F167" s="100" t="s">
        <v>484</v>
      </c>
      <c r="G167" s="99" t="s">
        <v>509</v>
      </c>
      <c r="H167" s="47"/>
      <c r="I167" s="47">
        <v>89</v>
      </c>
      <c r="J167" s="47">
        <f t="shared" si="2"/>
        <v>79</v>
      </c>
      <c r="K167" s="47"/>
      <c r="L167" s="47">
        <v>65</v>
      </c>
      <c r="M167" s="98"/>
      <c r="N167" s="51">
        <v>1</v>
      </c>
      <c r="O167" s="50"/>
      <c r="P167" s="50"/>
    </row>
    <row r="168" spans="1:16" ht="15.6" x14ac:dyDescent="0.3">
      <c r="A168" s="56">
        <v>46192</v>
      </c>
      <c r="B168" s="57">
        <v>27435</v>
      </c>
      <c r="C168" s="48" t="s">
        <v>151</v>
      </c>
      <c r="D168" s="48" t="s">
        <v>152</v>
      </c>
      <c r="E168" s="99" t="s">
        <v>510</v>
      </c>
      <c r="F168" s="100" t="s">
        <v>484</v>
      </c>
      <c r="G168" s="99" t="s">
        <v>498</v>
      </c>
      <c r="H168" s="47"/>
      <c r="I168" s="47">
        <v>91</v>
      </c>
      <c r="J168" s="47">
        <f t="shared" si="2"/>
        <v>79</v>
      </c>
      <c r="K168" s="47">
        <v>1</v>
      </c>
      <c r="L168" s="47">
        <v>65</v>
      </c>
      <c r="M168" s="98"/>
      <c r="N168" s="51">
        <v>1</v>
      </c>
      <c r="O168" s="50"/>
      <c r="P168" s="50"/>
    </row>
    <row r="169" spans="1:16" ht="15.6" x14ac:dyDescent="0.3">
      <c r="A169" s="56">
        <v>46192</v>
      </c>
      <c r="B169" s="57">
        <v>26953</v>
      </c>
      <c r="C169" s="48" t="s">
        <v>120</v>
      </c>
      <c r="D169" s="48" t="s">
        <v>121</v>
      </c>
      <c r="E169" s="99" t="s">
        <v>512</v>
      </c>
      <c r="F169" s="100" t="s">
        <v>484</v>
      </c>
      <c r="G169" s="99" t="s">
        <v>513</v>
      </c>
      <c r="H169" s="47"/>
      <c r="I169" s="47">
        <v>85</v>
      </c>
      <c r="J169" s="47">
        <f t="shared" si="2"/>
        <v>77</v>
      </c>
      <c r="K169" s="47">
        <v>1</v>
      </c>
      <c r="L169" s="47">
        <v>75</v>
      </c>
      <c r="M169" s="98"/>
      <c r="N169" s="51">
        <v>1</v>
      </c>
      <c r="O169" s="50"/>
      <c r="P169" s="50"/>
    </row>
    <row r="170" spans="1:16" ht="15.6" x14ac:dyDescent="0.3">
      <c r="A170" s="56">
        <v>46192</v>
      </c>
      <c r="B170" s="57">
        <v>30572</v>
      </c>
      <c r="C170" s="48" t="s">
        <v>225</v>
      </c>
      <c r="D170" s="48" t="s">
        <v>226</v>
      </c>
      <c r="E170" s="99" t="s">
        <v>515</v>
      </c>
      <c r="F170" s="100" t="s">
        <v>485</v>
      </c>
      <c r="G170" s="99" t="s">
        <v>506</v>
      </c>
      <c r="H170" s="47"/>
      <c r="I170" s="47">
        <v>94</v>
      </c>
      <c r="J170" s="47">
        <f t="shared" si="2"/>
        <v>74</v>
      </c>
      <c r="K170" s="47"/>
      <c r="L170" s="47">
        <v>90</v>
      </c>
      <c r="M170" s="50">
        <v>120000</v>
      </c>
      <c r="N170" s="51">
        <v>1</v>
      </c>
      <c r="O170" s="50"/>
      <c r="P170" s="50"/>
    </row>
    <row r="171" spans="1:16" ht="15.6" x14ac:dyDescent="0.3">
      <c r="A171" s="56">
        <v>46192</v>
      </c>
      <c r="B171" s="57">
        <v>12724</v>
      </c>
      <c r="C171" s="48" t="s">
        <v>460</v>
      </c>
      <c r="D171" s="48" t="s">
        <v>246</v>
      </c>
      <c r="E171" s="99" t="s">
        <v>517</v>
      </c>
      <c r="F171" s="100" t="s">
        <v>484</v>
      </c>
      <c r="G171" s="99" t="s">
        <v>518</v>
      </c>
      <c r="H171" s="47"/>
      <c r="I171" s="47">
        <v>89</v>
      </c>
      <c r="J171" s="47">
        <f t="shared" si="2"/>
        <v>78</v>
      </c>
      <c r="K171" s="47"/>
      <c r="L171" s="47">
        <v>70</v>
      </c>
      <c r="M171" s="50"/>
      <c r="N171" s="51">
        <v>1</v>
      </c>
      <c r="O171" s="50"/>
      <c r="P171" s="50"/>
    </row>
    <row r="172" spans="1:16" ht="15.6" x14ac:dyDescent="0.3">
      <c r="A172" s="56">
        <v>46192</v>
      </c>
      <c r="B172" s="57">
        <v>31818</v>
      </c>
      <c r="C172" s="48" t="s">
        <v>235</v>
      </c>
      <c r="D172" s="48" t="s">
        <v>236</v>
      </c>
      <c r="E172" s="99" t="s">
        <v>519</v>
      </c>
      <c r="F172" s="100" t="s">
        <v>484</v>
      </c>
      <c r="G172" s="99" t="s">
        <v>493</v>
      </c>
      <c r="H172" s="47"/>
      <c r="I172" s="47">
        <v>93</v>
      </c>
      <c r="J172" s="47">
        <f t="shared" si="2"/>
        <v>74</v>
      </c>
      <c r="K172" s="47"/>
      <c r="L172" s="47">
        <v>90</v>
      </c>
      <c r="M172" s="50">
        <v>120000</v>
      </c>
      <c r="N172" s="51">
        <v>1</v>
      </c>
      <c r="O172" s="50"/>
      <c r="P172" s="50"/>
    </row>
    <row r="173" spans="1:16" ht="15.6" x14ac:dyDescent="0.3">
      <c r="A173" s="56">
        <v>46192</v>
      </c>
      <c r="B173" s="47">
        <v>22156</v>
      </c>
      <c r="C173" s="47" t="s">
        <v>231</v>
      </c>
      <c r="D173" s="47" t="s">
        <v>232</v>
      </c>
      <c r="E173" s="99" t="s">
        <v>520</v>
      </c>
      <c r="F173" s="100" t="s">
        <v>485</v>
      </c>
      <c r="G173" s="99" t="s">
        <v>488</v>
      </c>
      <c r="H173" s="47"/>
      <c r="I173" s="47">
        <v>105</v>
      </c>
      <c r="J173" s="47">
        <f t="shared" si="2"/>
        <v>87</v>
      </c>
      <c r="K173" s="47"/>
      <c r="L173" s="47">
        <v>45</v>
      </c>
      <c r="M173" s="50"/>
      <c r="N173" s="51">
        <v>1</v>
      </c>
      <c r="O173" s="50"/>
      <c r="P173" s="50"/>
    </row>
    <row r="174" spans="1:16" ht="15.6" x14ac:dyDescent="0.3">
      <c r="A174" s="56">
        <v>46192</v>
      </c>
      <c r="B174" s="57">
        <v>8473</v>
      </c>
      <c r="C174" s="48" t="s">
        <v>58</v>
      </c>
      <c r="D174" s="48" t="s">
        <v>59</v>
      </c>
      <c r="E174" s="99" t="s">
        <v>521</v>
      </c>
      <c r="F174" s="100" t="s">
        <v>485</v>
      </c>
      <c r="G174" s="99" t="s">
        <v>522</v>
      </c>
      <c r="H174" s="47"/>
      <c r="I174" s="47">
        <v>100</v>
      </c>
      <c r="J174" s="47">
        <f t="shared" si="2"/>
        <v>76</v>
      </c>
      <c r="K174" s="47"/>
      <c r="L174" s="47">
        <v>80</v>
      </c>
      <c r="M174" s="50"/>
      <c r="N174" s="51">
        <v>1</v>
      </c>
      <c r="O174" s="50"/>
      <c r="P174" s="50"/>
    </row>
    <row r="175" spans="1:16" ht="15.6" x14ac:dyDescent="0.3">
      <c r="A175" s="56">
        <v>46192</v>
      </c>
      <c r="B175" s="62">
        <v>32142</v>
      </c>
      <c r="C175" s="48" t="s">
        <v>47</v>
      </c>
      <c r="D175" s="48" t="s">
        <v>48</v>
      </c>
      <c r="E175" s="76">
        <v>19.5</v>
      </c>
      <c r="F175" s="57" t="s">
        <v>485</v>
      </c>
      <c r="G175" s="79">
        <v>19</v>
      </c>
      <c r="H175" s="47"/>
      <c r="I175" s="52">
        <v>94</v>
      </c>
      <c r="J175" s="47">
        <f t="shared" si="2"/>
        <v>75</v>
      </c>
      <c r="K175" s="47"/>
      <c r="L175" s="47">
        <v>85</v>
      </c>
      <c r="M175" s="50">
        <v>35000</v>
      </c>
      <c r="N175" s="51">
        <v>1</v>
      </c>
      <c r="O175" s="50"/>
      <c r="P175" s="50"/>
    </row>
    <row r="176" spans="1:16" ht="15.6" x14ac:dyDescent="0.3">
      <c r="A176" s="56">
        <v>46200</v>
      </c>
      <c r="B176" s="60">
        <v>18908</v>
      </c>
      <c r="C176" s="53" t="s">
        <v>190</v>
      </c>
      <c r="D176" s="53" t="s">
        <v>88</v>
      </c>
      <c r="E176" s="76">
        <v>10.199999999999999</v>
      </c>
      <c r="F176" s="105" t="s">
        <v>484</v>
      </c>
      <c r="G176" s="79">
        <v>10</v>
      </c>
      <c r="H176" s="47"/>
      <c r="I176" s="47">
        <v>86</v>
      </c>
      <c r="J176" s="47">
        <f t="shared" si="2"/>
        <v>76</v>
      </c>
      <c r="K176" s="47"/>
      <c r="L176" s="47">
        <v>75</v>
      </c>
      <c r="M176" s="50"/>
      <c r="N176" s="51">
        <v>1</v>
      </c>
      <c r="O176" s="50"/>
      <c r="P176" s="50"/>
    </row>
    <row r="177" spans="1:16" ht="15.6" x14ac:dyDescent="0.3">
      <c r="A177" s="56">
        <v>46200</v>
      </c>
      <c r="B177" s="61">
        <v>21865</v>
      </c>
      <c r="C177" s="53" t="s">
        <v>107</v>
      </c>
      <c r="D177" s="53" t="s">
        <v>108</v>
      </c>
      <c r="E177" s="76">
        <v>16.399999999999999</v>
      </c>
      <c r="F177" s="105" t="s">
        <v>485</v>
      </c>
      <c r="G177" s="79">
        <v>16</v>
      </c>
      <c r="H177" s="47"/>
      <c r="I177" s="47">
        <v>91</v>
      </c>
      <c r="J177" s="47">
        <f t="shared" si="2"/>
        <v>75</v>
      </c>
      <c r="K177" s="47">
        <v>1</v>
      </c>
      <c r="L177" s="47">
        <v>80</v>
      </c>
      <c r="M177" s="50"/>
      <c r="N177" s="51">
        <v>1</v>
      </c>
      <c r="O177" s="50"/>
      <c r="P177" s="50"/>
    </row>
    <row r="178" spans="1:16" ht="15.6" x14ac:dyDescent="0.3">
      <c r="A178" s="56">
        <v>46200</v>
      </c>
      <c r="B178" s="57">
        <v>17043</v>
      </c>
      <c r="C178" s="48" t="s">
        <v>118</v>
      </c>
      <c r="D178" s="48" t="s">
        <v>119</v>
      </c>
      <c r="E178" s="76">
        <v>19</v>
      </c>
      <c r="F178" s="105" t="s">
        <v>485</v>
      </c>
      <c r="G178" s="79">
        <v>19</v>
      </c>
      <c r="H178" s="47"/>
      <c r="I178" s="47">
        <v>88</v>
      </c>
      <c r="J178" s="47">
        <f t="shared" si="2"/>
        <v>69</v>
      </c>
      <c r="K178" s="47"/>
      <c r="L178" s="47">
        <v>95</v>
      </c>
      <c r="M178" s="50">
        <v>140000</v>
      </c>
      <c r="N178" s="51">
        <v>1</v>
      </c>
      <c r="O178" s="50"/>
      <c r="P178" s="50"/>
    </row>
    <row r="179" spans="1:16" ht="15.6" x14ac:dyDescent="0.3">
      <c r="A179" s="56">
        <v>46200</v>
      </c>
      <c r="B179" s="57">
        <v>30572</v>
      </c>
      <c r="C179" s="48" t="s">
        <v>225</v>
      </c>
      <c r="D179" s="48" t="s">
        <v>226</v>
      </c>
      <c r="E179" s="76">
        <v>19.8</v>
      </c>
      <c r="F179" s="105" t="s">
        <v>485</v>
      </c>
      <c r="G179" s="80">
        <v>20</v>
      </c>
      <c r="H179" s="47"/>
      <c r="I179" s="47">
        <v>94</v>
      </c>
      <c r="J179" s="47">
        <f t="shared" si="2"/>
        <v>74</v>
      </c>
      <c r="K179" s="47"/>
      <c r="L179" s="47">
        <v>85</v>
      </c>
      <c r="M179" s="50"/>
      <c r="N179" s="51">
        <v>1</v>
      </c>
      <c r="O179" s="50"/>
      <c r="P179" s="50"/>
    </row>
    <row r="180" spans="1:16" ht="15.6" x14ac:dyDescent="0.3">
      <c r="A180" s="56">
        <v>46200</v>
      </c>
      <c r="B180" s="57">
        <v>7891</v>
      </c>
      <c r="C180" s="48" t="s">
        <v>220</v>
      </c>
      <c r="D180" s="48" t="s">
        <v>221</v>
      </c>
      <c r="E180" s="76">
        <v>18.8</v>
      </c>
      <c r="F180" s="105" t="s">
        <v>485</v>
      </c>
      <c r="G180" s="80">
        <v>19</v>
      </c>
      <c r="H180" s="47"/>
      <c r="I180" s="47">
        <v>98</v>
      </c>
      <c r="J180" s="47">
        <f t="shared" si="2"/>
        <v>79</v>
      </c>
      <c r="K180" s="47"/>
      <c r="L180" s="47">
        <v>65</v>
      </c>
      <c r="M180" s="50"/>
      <c r="N180" s="51">
        <v>1</v>
      </c>
      <c r="O180" s="50"/>
      <c r="P180" s="50"/>
    </row>
    <row r="181" spans="1:16" ht="15.6" x14ac:dyDescent="0.3">
      <c r="A181" s="56">
        <v>46200</v>
      </c>
      <c r="B181" s="137">
        <v>9446</v>
      </c>
      <c r="C181" s="51" t="s">
        <v>285</v>
      </c>
      <c r="D181" s="51" t="s">
        <v>286</v>
      </c>
      <c r="E181" s="76">
        <v>11.8</v>
      </c>
      <c r="F181" s="105" t="s">
        <v>484</v>
      </c>
      <c r="G181" s="79">
        <v>12</v>
      </c>
      <c r="H181" s="47"/>
      <c r="I181" s="47">
        <v>102</v>
      </c>
      <c r="J181" s="47">
        <f t="shared" si="2"/>
        <v>90</v>
      </c>
      <c r="K181" s="47"/>
      <c r="L181" s="47">
        <v>50</v>
      </c>
      <c r="M181" s="50"/>
      <c r="N181" s="51">
        <v>1</v>
      </c>
      <c r="O181" s="50"/>
      <c r="P181" s="50"/>
    </row>
    <row r="182" spans="1:16" ht="15.6" x14ac:dyDescent="0.3">
      <c r="A182" s="56">
        <v>46200</v>
      </c>
      <c r="B182" s="57">
        <v>26953</v>
      </c>
      <c r="C182" s="48" t="s">
        <v>120</v>
      </c>
      <c r="D182" s="48" t="s">
        <v>121</v>
      </c>
      <c r="E182" s="76">
        <v>8.6999999999999993</v>
      </c>
      <c r="F182" s="105" t="s">
        <v>484</v>
      </c>
      <c r="G182" s="79">
        <v>8</v>
      </c>
      <c r="H182" s="47"/>
      <c r="I182" s="47">
        <v>89</v>
      </c>
      <c r="J182" s="47">
        <f t="shared" si="2"/>
        <v>81</v>
      </c>
      <c r="K182" s="47">
        <v>1</v>
      </c>
      <c r="L182" s="47">
        <v>60</v>
      </c>
      <c r="M182" s="50"/>
      <c r="N182" s="51">
        <v>1</v>
      </c>
      <c r="O182" s="50"/>
      <c r="P182" s="50"/>
    </row>
    <row r="183" spans="1:16" ht="15.6" x14ac:dyDescent="0.3">
      <c r="A183" s="56">
        <v>46200</v>
      </c>
      <c r="B183" s="57">
        <v>13625</v>
      </c>
      <c r="C183" s="48" t="s">
        <v>222</v>
      </c>
      <c r="D183" s="48" t="s">
        <v>223</v>
      </c>
      <c r="E183" s="76">
        <v>10.199999999999999</v>
      </c>
      <c r="F183" s="105" t="s">
        <v>484</v>
      </c>
      <c r="G183" s="79">
        <v>10</v>
      </c>
      <c r="H183" s="47"/>
      <c r="I183" s="47">
        <v>78</v>
      </c>
      <c r="J183" s="47">
        <f t="shared" si="2"/>
        <v>68</v>
      </c>
      <c r="K183" s="47"/>
      <c r="L183" s="47">
        <v>100</v>
      </c>
      <c r="M183" s="50">
        <v>190000</v>
      </c>
      <c r="N183" s="51">
        <v>1</v>
      </c>
      <c r="O183" s="50"/>
      <c r="P183" s="50"/>
    </row>
    <row r="184" spans="1:16" ht="15.6" x14ac:dyDescent="0.3">
      <c r="A184" s="56">
        <v>46200</v>
      </c>
      <c r="B184" s="57">
        <v>12724</v>
      </c>
      <c r="C184" s="48" t="s">
        <v>460</v>
      </c>
      <c r="D184" s="48" t="s">
        <v>246</v>
      </c>
      <c r="E184" s="76">
        <v>10.5</v>
      </c>
      <c r="F184" s="105" t="s">
        <v>484</v>
      </c>
      <c r="G184" s="79">
        <v>11</v>
      </c>
      <c r="H184" s="47"/>
      <c r="I184" s="47">
        <v>88</v>
      </c>
      <c r="J184" s="47">
        <f t="shared" si="2"/>
        <v>77</v>
      </c>
      <c r="K184" s="47"/>
      <c r="L184" s="47">
        <v>70</v>
      </c>
      <c r="M184" s="50"/>
      <c r="N184" s="51">
        <v>1</v>
      </c>
      <c r="O184" s="50"/>
      <c r="P184" s="50"/>
    </row>
    <row r="185" spans="1:16" ht="15.6" x14ac:dyDescent="0.3">
      <c r="A185" s="56">
        <v>46200</v>
      </c>
      <c r="B185" s="72">
        <v>24140</v>
      </c>
      <c r="C185" s="73" t="s">
        <v>363</v>
      </c>
      <c r="D185" s="73" t="s">
        <v>119</v>
      </c>
      <c r="E185" s="76">
        <v>24.4</v>
      </c>
      <c r="F185" s="105" t="s">
        <v>485</v>
      </c>
      <c r="G185" s="79">
        <v>25</v>
      </c>
      <c r="H185" s="47"/>
      <c r="I185" s="47">
        <v>107</v>
      </c>
      <c r="J185" s="47">
        <f t="shared" si="2"/>
        <v>82</v>
      </c>
      <c r="K185" s="47"/>
      <c r="L185" s="47">
        <v>55</v>
      </c>
      <c r="M185" s="50"/>
      <c r="N185" s="51">
        <v>1</v>
      </c>
      <c r="O185" s="50"/>
      <c r="P185" s="50"/>
    </row>
    <row r="186" spans="1:16" ht="15.6" x14ac:dyDescent="0.3">
      <c r="A186" s="56">
        <v>46200</v>
      </c>
      <c r="B186" s="57">
        <v>28225</v>
      </c>
      <c r="C186" s="48" t="s">
        <v>222</v>
      </c>
      <c r="D186" s="48" t="s">
        <v>233</v>
      </c>
      <c r="E186" s="76">
        <v>12.4</v>
      </c>
      <c r="F186" s="105" t="s">
        <v>484</v>
      </c>
      <c r="G186" s="80">
        <v>13</v>
      </c>
      <c r="H186" s="47"/>
      <c r="I186" s="47">
        <v>92</v>
      </c>
      <c r="J186" s="47">
        <f t="shared" si="2"/>
        <v>79</v>
      </c>
      <c r="K186" s="47">
        <v>1</v>
      </c>
      <c r="L186" s="47">
        <v>65</v>
      </c>
      <c r="M186" s="50"/>
      <c r="N186" s="51">
        <v>1</v>
      </c>
      <c r="O186" s="50"/>
      <c r="P186" s="50">
        <v>110000</v>
      </c>
    </row>
    <row r="187" spans="1:16" ht="15.6" x14ac:dyDescent="0.3">
      <c r="A187" s="56">
        <v>46200</v>
      </c>
      <c r="B187" s="57">
        <v>16552</v>
      </c>
      <c r="C187" s="48" t="s">
        <v>272</v>
      </c>
      <c r="D187" s="48" t="s">
        <v>273</v>
      </c>
      <c r="E187" s="76">
        <v>11.7</v>
      </c>
      <c r="F187" s="105" t="s">
        <v>484</v>
      </c>
      <c r="G187" s="79">
        <v>12</v>
      </c>
      <c r="H187" s="47"/>
      <c r="I187" s="47">
        <v>82</v>
      </c>
      <c r="J187" s="47">
        <f t="shared" si="2"/>
        <v>70</v>
      </c>
      <c r="K187" s="47"/>
      <c r="L187" s="47">
        <v>90</v>
      </c>
      <c r="M187" s="50">
        <v>100000</v>
      </c>
      <c r="N187" s="51">
        <v>1</v>
      </c>
      <c r="O187" s="50"/>
      <c r="P187" s="50"/>
    </row>
    <row r="188" spans="1:16" ht="15.6" x14ac:dyDescent="0.3">
      <c r="A188" s="56">
        <v>46221</v>
      </c>
      <c r="B188" s="60">
        <v>18908</v>
      </c>
      <c r="C188" s="53" t="s">
        <v>190</v>
      </c>
      <c r="D188" s="53" t="s">
        <v>88</v>
      </c>
      <c r="E188" s="140" t="s">
        <v>538</v>
      </c>
      <c r="F188" s="126" t="s">
        <v>484</v>
      </c>
      <c r="G188" s="139">
        <v>10</v>
      </c>
      <c r="H188" s="47"/>
      <c r="I188" s="47">
        <v>86</v>
      </c>
      <c r="J188" s="47">
        <f t="shared" si="2"/>
        <v>76</v>
      </c>
      <c r="K188" s="47"/>
      <c r="L188" s="47">
        <v>120</v>
      </c>
      <c r="M188" s="50"/>
      <c r="N188" s="51">
        <v>1</v>
      </c>
      <c r="O188" s="50"/>
      <c r="P188" s="50">
        <v>140000</v>
      </c>
    </row>
    <row r="189" spans="1:16" ht="15.6" x14ac:dyDescent="0.3">
      <c r="A189" s="56">
        <v>46221</v>
      </c>
      <c r="B189" s="57">
        <v>30087</v>
      </c>
      <c r="C189" s="48" t="s">
        <v>149</v>
      </c>
      <c r="D189" s="48" t="s">
        <v>150</v>
      </c>
      <c r="E189" s="76" t="s">
        <v>532</v>
      </c>
      <c r="F189" s="57" t="s">
        <v>484</v>
      </c>
      <c r="G189" s="79" t="s">
        <v>518</v>
      </c>
      <c r="H189" s="47"/>
      <c r="I189" s="47">
        <v>91</v>
      </c>
      <c r="J189" s="47">
        <f t="shared" si="2"/>
        <v>80</v>
      </c>
      <c r="K189" s="47"/>
      <c r="L189" s="47">
        <v>100</v>
      </c>
      <c r="M189" s="50"/>
      <c r="N189" s="51">
        <v>1</v>
      </c>
      <c r="O189" s="50"/>
      <c r="P189" s="50"/>
    </row>
    <row r="190" spans="1:16" ht="15.6" x14ac:dyDescent="0.3">
      <c r="A190" s="56">
        <v>46221</v>
      </c>
      <c r="B190" s="57">
        <v>27435</v>
      </c>
      <c r="C190" s="48" t="s">
        <v>151</v>
      </c>
      <c r="D190" s="48" t="s">
        <v>152</v>
      </c>
      <c r="E190" s="99" t="s">
        <v>510</v>
      </c>
      <c r="F190" s="100" t="s">
        <v>484</v>
      </c>
      <c r="G190" s="99" t="s">
        <v>498</v>
      </c>
      <c r="H190" s="47"/>
      <c r="I190" s="47">
        <v>84</v>
      </c>
      <c r="J190" s="47">
        <f t="shared" si="2"/>
        <v>72</v>
      </c>
      <c r="K190" s="47"/>
      <c r="L190" s="47">
        <v>170</v>
      </c>
      <c r="M190" s="50">
        <v>100000</v>
      </c>
      <c r="N190" s="51">
        <v>1</v>
      </c>
      <c r="O190" s="50"/>
      <c r="P190" s="50"/>
    </row>
    <row r="191" spans="1:16" ht="15.6" x14ac:dyDescent="0.3">
      <c r="A191" s="56">
        <v>46221</v>
      </c>
      <c r="B191" s="137">
        <v>9446</v>
      </c>
      <c r="C191" s="51" t="s">
        <v>285</v>
      </c>
      <c r="D191" s="51" t="s">
        <v>286</v>
      </c>
      <c r="E191" s="76">
        <v>11.8</v>
      </c>
      <c r="F191" s="105" t="s">
        <v>484</v>
      </c>
      <c r="G191" s="79">
        <v>12</v>
      </c>
      <c r="H191" s="47"/>
      <c r="I191" s="47">
        <v>88</v>
      </c>
      <c r="J191" s="47">
        <f t="shared" si="2"/>
        <v>76</v>
      </c>
      <c r="K191" s="47"/>
      <c r="L191" s="47">
        <v>120</v>
      </c>
      <c r="M191" s="50"/>
      <c r="N191" s="51">
        <v>1</v>
      </c>
      <c r="O191" s="50"/>
      <c r="P191" s="50"/>
    </row>
    <row r="192" spans="1:16" ht="15.6" x14ac:dyDescent="0.3">
      <c r="A192" s="56">
        <v>46221</v>
      </c>
      <c r="B192" s="61">
        <v>21865</v>
      </c>
      <c r="C192" s="53" t="s">
        <v>107</v>
      </c>
      <c r="D192" s="53" t="s">
        <v>108</v>
      </c>
      <c r="E192" s="76" t="s">
        <v>534</v>
      </c>
      <c r="F192" s="57" t="s">
        <v>485</v>
      </c>
      <c r="G192" s="79">
        <v>16</v>
      </c>
      <c r="H192" s="47"/>
      <c r="I192" s="47">
        <v>91</v>
      </c>
      <c r="J192" s="47">
        <f t="shared" si="2"/>
        <v>75</v>
      </c>
      <c r="K192" s="47"/>
      <c r="L192" s="47">
        <v>130</v>
      </c>
      <c r="M192" s="50"/>
      <c r="N192" s="51">
        <v>1</v>
      </c>
      <c r="O192" s="50"/>
      <c r="P192" s="50"/>
    </row>
    <row r="193" spans="1:16" ht="15.6" x14ac:dyDescent="0.3">
      <c r="A193" s="56">
        <v>46221</v>
      </c>
      <c r="B193" s="57">
        <v>15107</v>
      </c>
      <c r="C193" s="48" t="s">
        <v>153</v>
      </c>
      <c r="D193" s="48" t="s">
        <v>154</v>
      </c>
      <c r="E193" s="76" t="s">
        <v>530</v>
      </c>
      <c r="F193" s="57" t="s">
        <v>484</v>
      </c>
      <c r="G193" s="79" t="s">
        <v>493</v>
      </c>
      <c r="H193" s="47"/>
      <c r="I193" s="47">
        <v>100</v>
      </c>
      <c r="J193" s="47">
        <f t="shared" si="2"/>
        <v>81</v>
      </c>
      <c r="K193" s="47"/>
      <c r="L193" s="47">
        <v>90</v>
      </c>
      <c r="M193" s="50"/>
      <c r="N193" s="51">
        <v>1</v>
      </c>
      <c r="O193" s="50"/>
      <c r="P193" s="50"/>
    </row>
    <row r="194" spans="1:16" ht="15.6" x14ac:dyDescent="0.3">
      <c r="A194" s="56">
        <v>46221</v>
      </c>
      <c r="B194" s="57">
        <v>31818</v>
      </c>
      <c r="C194" s="48" t="s">
        <v>235</v>
      </c>
      <c r="D194" s="48" t="s">
        <v>236</v>
      </c>
      <c r="E194" s="99" t="s">
        <v>519</v>
      </c>
      <c r="F194" s="100" t="s">
        <v>484</v>
      </c>
      <c r="G194" s="99" t="s">
        <v>493</v>
      </c>
      <c r="H194" s="47"/>
      <c r="I194" s="47">
        <v>88</v>
      </c>
      <c r="J194" s="47">
        <f t="shared" si="2"/>
        <v>69</v>
      </c>
      <c r="K194" s="47"/>
      <c r="L194" s="47">
        <v>180</v>
      </c>
      <c r="M194" s="50">
        <v>140000</v>
      </c>
      <c r="N194" s="51">
        <v>1</v>
      </c>
      <c r="O194" s="50"/>
      <c r="P194" s="50"/>
    </row>
    <row r="195" spans="1:16" ht="15.6" x14ac:dyDescent="0.3">
      <c r="A195" s="56">
        <v>46221</v>
      </c>
      <c r="B195" s="62">
        <v>32142</v>
      </c>
      <c r="C195" s="48" t="s">
        <v>47</v>
      </c>
      <c r="D195" s="48" t="s">
        <v>48</v>
      </c>
      <c r="E195" s="76">
        <v>19.5</v>
      </c>
      <c r="F195" s="57" t="s">
        <v>485</v>
      </c>
      <c r="G195" s="79">
        <v>19</v>
      </c>
      <c r="H195" s="47"/>
      <c r="I195" s="47">
        <v>107</v>
      </c>
      <c r="J195" s="47">
        <f t="shared" si="2"/>
        <v>88</v>
      </c>
      <c r="K195" s="47"/>
      <c r="L195" s="47">
        <v>80</v>
      </c>
      <c r="M195" s="50"/>
      <c r="N195" s="51">
        <v>1</v>
      </c>
      <c r="O195" s="50"/>
      <c r="P195" s="50"/>
    </row>
    <row r="196" spans="1:16" ht="15.6" x14ac:dyDescent="0.3">
      <c r="A196" s="56">
        <v>46221</v>
      </c>
      <c r="B196" s="58">
        <v>28433</v>
      </c>
      <c r="C196" s="48" t="s">
        <v>353</v>
      </c>
      <c r="D196" s="48" t="s">
        <v>354</v>
      </c>
      <c r="E196" s="99" t="s">
        <v>494</v>
      </c>
      <c r="F196" s="100" t="s">
        <v>485</v>
      </c>
      <c r="G196" s="99" t="s">
        <v>495</v>
      </c>
      <c r="H196" s="47"/>
      <c r="I196" s="47">
        <v>96</v>
      </c>
      <c r="J196" s="47">
        <f t="shared" si="2"/>
        <v>73</v>
      </c>
      <c r="K196" s="47"/>
      <c r="L196" s="47">
        <v>160</v>
      </c>
      <c r="M196" s="50"/>
      <c r="N196" s="51">
        <v>1</v>
      </c>
      <c r="O196" s="50"/>
      <c r="P196" s="50"/>
    </row>
    <row r="197" spans="1:16" ht="15.6" x14ac:dyDescent="0.3">
      <c r="A197" s="56">
        <v>46221</v>
      </c>
      <c r="B197" s="72">
        <v>24140</v>
      </c>
      <c r="C197" s="73" t="s">
        <v>363</v>
      </c>
      <c r="D197" s="73" t="s">
        <v>119</v>
      </c>
      <c r="E197" s="76">
        <v>24.4</v>
      </c>
      <c r="F197" s="105" t="s">
        <v>485</v>
      </c>
      <c r="G197" s="79">
        <v>25</v>
      </c>
      <c r="H197" s="47"/>
      <c r="I197" s="47">
        <v>114</v>
      </c>
      <c r="J197" s="47">
        <f t="shared" si="2"/>
        <v>89</v>
      </c>
      <c r="K197" s="47"/>
      <c r="L197" s="47">
        <v>70</v>
      </c>
      <c r="M197" s="50"/>
      <c r="N197" s="51">
        <v>1</v>
      </c>
      <c r="O197" s="50"/>
      <c r="P197" s="50"/>
    </row>
    <row r="198" spans="1:16" ht="15.6" x14ac:dyDescent="0.3">
      <c r="A198" s="56">
        <v>46221</v>
      </c>
      <c r="B198" s="57">
        <v>18411</v>
      </c>
      <c r="C198" s="48" t="s">
        <v>28</v>
      </c>
      <c r="D198" s="48" t="s">
        <v>29</v>
      </c>
      <c r="E198" s="76" t="s">
        <v>544</v>
      </c>
      <c r="F198" s="57" t="s">
        <v>485</v>
      </c>
      <c r="G198" s="80" t="s">
        <v>526</v>
      </c>
      <c r="H198" s="47"/>
      <c r="I198" s="47">
        <v>105</v>
      </c>
      <c r="J198" s="47">
        <f t="shared" si="2"/>
        <v>80</v>
      </c>
      <c r="K198" s="47"/>
      <c r="L198" s="47">
        <v>100</v>
      </c>
      <c r="M198" s="50"/>
      <c r="N198" s="51">
        <v>1</v>
      </c>
      <c r="O198" s="50"/>
      <c r="P198" s="50"/>
    </row>
    <row r="199" spans="1:16" ht="15.6" x14ac:dyDescent="0.3">
      <c r="A199" s="56">
        <v>46221</v>
      </c>
      <c r="B199" s="47">
        <v>24283</v>
      </c>
      <c r="C199" s="47" t="s">
        <v>287</v>
      </c>
      <c r="D199" s="47" t="s">
        <v>288</v>
      </c>
      <c r="E199" s="76">
        <v>27</v>
      </c>
      <c r="F199" s="57" t="s">
        <v>485</v>
      </c>
      <c r="G199" s="79" t="s">
        <v>502</v>
      </c>
      <c r="H199" s="47"/>
      <c r="I199" s="47">
        <v>94</v>
      </c>
      <c r="J199" s="47">
        <f t="shared" si="2"/>
        <v>66</v>
      </c>
      <c r="K199" s="47"/>
      <c r="L199" s="47">
        <v>200</v>
      </c>
      <c r="M199" s="50">
        <v>200000</v>
      </c>
      <c r="N199" s="51">
        <v>1</v>
      </c>
      <c r="O199" s="50"/>
      <c r="P199" s="50"/>
    </row>
    <row r="200" spans="1:16" ht="15.6" x14ac:dyDescent="0.3">
      <c r="A200" s="56">
        <v>46221</v>
      </c>
      <c r="B200" s="57">
        <v>4080</v>
      </c>
      <c r="C200" s="48" t="s">
        <v>191</v>
      </c>
      <c r="D200" s="48" t="s">
        <v>106</v>
      </c>
      <c r="E200" s="79" t="s">
        <v>537</v>
      </c>
      <c r="F200" s="57" t="s">
        <v>485</v>
      </c>
      <c r="G200" s="138">
        <v>15</v>
      </c>
      <c r="H200" s="47"/>
      <c r="I200" s="47">
        <v>93</v>
      </c>
      <c r="J200" s="47">
        <f t="shared" si="2"/>
        <v>78</v>
      </c>
      <c r="K200" s="47"/>
      <c r="L200" s="47">
        <v>110</v>
      </c>
      <c r="M200" s="50"/>
      <c r="N200" s="51">
        <v>1</v>
      </c>
      <c r="O200" s="50"/>
      <c r="P200" s="50"/>
    </row>
    <row r="201" spans="1:16" ht="15.6" x14ac:dyDescent="0.3">
      <c r="A201" s="56">
        <v>46221</v>
      </c>
      <c r="B201" s="57">
        <v>7891</v>
      </c>
      <c r="C201" s="48" t="s">
        <v>220</v>
      </c>
      <c r="D201" s="48" t="s">
        <v>221</v>
      </c>
      <c r="E201" s="76" t="s">
        <v>535</v>
      </c>
      <c r="F201" s="57" t="s">
        <v>485</v>
      </c>
      <c r="G201" s="79" t="s">
        <v>488</v>
      </c>
      <c r="H201" s="47"/>
      <c r="I201" s="47">
        <v>92</v>
      </c>
      <c r="J201" s="47">
        <f t="shared" si="2"/>
        <v>74</v>
      </c>
      <c r="K201" s="47"/>
      <c r="L201" s="47">
        <v>140</v>
      </c>
      <c r="M201" s="50"/>
      <c r="N201" s="51">
        <v>1</v>
      </c>
      <c r="O201" s="50"/>
      <c r="P201" s="50"/>
    </row>
    <row r="202" spans="1:16" ht="15.6" x14ac:dyDescent="0.3">
      <c r="A202" s="56">
        <v>46221</v>
      </c>
      <c r="B202" s="57">
        <v>30572</v>
      </c>
      <c r="C202" s="48" t="s">
        <v>225</v>
      </c>
      <c r="D202" s="48" t="s">
        <v>226</v>
      </c>
      <c r="E202" s="76" t="s">
        <v>533</v>
      </c>
      <c r="F202" s="57" t="s">
        <v>485</v>
      </c>
      <c r="G202" s="79" t="s">
        <v>493</v>
      </c>
      <c r="H202" s="47"/>
      <c r="I202" s="47">
        <v>86</v>
      </c>
      <c r="J202" s="47">
        <f t="shared" si="2"/>
        <v>67</v>
      </c>
      <c r="K202" s="47"/>
      <c r="L202" s="47">
        <v>190</v>
      </c>
      <c r="M202" s="50">
        <v>160000</v>
      </c>
      <c r="N202" s="51">
        <v>1</v>
      </c>
      <c r="O202" s="50"/>
      <c r="P202" s="50"/>
    </row>
    <row r="203" spans="1:16" ht="15.6" x14ac:dyDescent="0.3">
      <c r="A203" s="56">
        <v>46221</v>
      </c>
      <c r="B203" s="47">
        <v>22156</v>
      </c>
      <c r="C203" s="47" t="s">
        <v>231</v>
      </c>
      <c r="D203" s="47" t="s">
        <v>232</v>
      </c>
      <c r="E203" s="99" t="s">
        <v>520</v>
      </c>
      <c r="F203" s="100" t="s">
        <v>485</v>
      </c>
      <c r="G203" s="99" t="s">
        <v>488</v>
      </c>
      <c r="H203" s="47"/>
      <c r="I203" s="47">
        <v>91</v>
      </c>
      <c r="J203" s="47">
        <f t="shared" si="2"/>
        <v>73</v>
      </c>
      <c r="K203" s="47"/>
      <c r="L203" s="47">
        <v>150</v>
      </c>
      <c r="M203" s="50"/>
      <c r="N203" s="51">
        <v>1</v>
      </c>
      <c r="O203" s="50"/>
      <c r="P203" s="50"/>
    </row>
    <row r="204" spans="1:16" ht="15.6" x14ac:dyDescent="0.3">
      <c r="A204" s="56">
        <v>46228</v>
      </c>
      <c r="B204" s="58">
        <v>28433</v>
      </c>
      <c r="C204" s="48" t="s">
        <v>353</v>
      </c>
      <c r="D204" s="48" t="s">
        <v>354</v>
      </c>
      <c r="E204" s="99" t="s">
        <v>494</v>
      </c>
      <c r="F204" s="100" t="s">
        <v>485</v>
      </c>
      <c r="G204" s="99" t="s">
        <v>495</v>
      </c>
      <c r="H204" s="47"/>
      <c r="I204" s="47">
        <v>101</v>
      </c>
      <c r="J204" s="47">
        <f t="shared" si="2"/>
        <v>78</v>
      </c>
      <c r="K204" s="47"/>
      <c r="L204" s="47">
        <v>110</v>
      </c>
      <c r="M204" s="50"/>
      <c r="N204" s="51">
        <v>1</v>
      </c>
      <c r="O204" s="50"/>
      <c r="P204" s="50"/>
    </row>
    <row r="205" spans="1:16" ht="15.6" x14ac:dyDescent="0.3">
      <c r="A205" s="56">
        <v>46228</v>
      </c>
      <c r="B205" s="61">
        <v>21865</v>
      </c>
      <c r="C205" s="53" t="s">
        <v>107</v>
      </c>
      <c r="D205" s="53" t="s">
        <v>108</v>
      </c>
      <c r="E205" s="76" t="s">
        <v>534</v>
      </c>
      <c r="F205" s="57" t="s">
        <v>485</v>
      </c>
      <c r="G205" s="79">
        <v>16</v>
      </c>
      <c r="H205" s="47"/>
      <c r="I205" s="47">
        <v>84</v>
      </c>
      <c r="J205" s="47">
        <f t="shared" si="2"/>
        <v>68</v>
      </c>
      <c r="K205" s="47"/>
      <c r="L205" s="47">
        <v>180</v>
      </c>
      <c r="M205" s="50">
        <v>120000</v>
      </c>
      <c r="N205" s="51">
        <v>1</v>
      </c>
      <c r="O205" s="50"/>
      <c r="P205" s="50"/>
    </row>
    <row r="206" spans="1:16" ht="15.6" x14ac:dyDescent="0.3">
      <c r="A206" s="56">
        <v>46228</v>
      </c>
      <c r="B206" s="60">
        <v>18908</v>
      </c>
      <c r="C206" s="53" t="s">
        <v>190</v>
      </c>
      <c r="D206" s="53" t="s">
        <v>88</v>
      </c>
      <c r="E206" s="140" t="s">
        <v>538</v>
      </c>
      <c r="F206" s="126" t="s">
        <v>484</v>
      </c>
      <c r="G206" s="139">
        <v>10</v>
      </c>
      <c r="H206" s="47"/>
      <c r="I206" s="47">
        <v>84</v>
      </c>
      <c r="J206" s="47">
        <f t="shared" si="2"/>
        <v>74</v>
      </c>
      <c r="K206" s="47"/>
      <c r="L206" s="47">
        <v>150</v>
      </c>
      <c r="M206" s="50"/>
      <c r="N206" s="51">
        <v>1</v>
      </c>
      <c r="O206" s="50"/>
      <c r="P206" s="50">
        <v>140000</v>
      </c>
    </row>
    <row r="207" spans="1:16" ht="15.6" x14ac:dyDescent="0.3">
      <c r="A207" s="56">
        <v>46228</v>
      </c>
      <c r="B207" s="137">
        <v>9446</v>
      </c>
      <c r="C207" s="51" t="s">
        <v>285</v>
      </c>
      <c r="D207" s="51" t="s">
        <v>286</v>
      </c>
      <c r="E207" s="76">
        <v>11.8</v>
      </c>
      <c r="F207" s="105" t="s">
        <v>484</v>
      </c>
      <c r="G207" s="79">
        <v>12</v>
      </c>
      <c r="H207" s="47"/>
      <c r="I207" s="47">
        <v>84</v>
      </c>
      <c r="J207" s="47">
        <f t="shared" si="2"/>
        <v>72</v>
      </c>
      <c r="K207" s="47"/>
      <c r="L207" s="47">
        <v>160</v>
      </c>
      <c r="M207" s="50"/>
      <c r="N207" s="51">
        <v>1</v>
      </c>
      <c r="O207" s="50"/>
      <c r="P207" s="50"/>
    </row>
    <row r="208" spans="1:16" ht="15.6" x14ac:dyDescent="0.3">
      <c r="A208" s="56">
        <v>46228</v>
      </c>
      <c r="B208" s="57">
        <v>4080</v>
      </c>
      <c r="C208" s="48" t="s">
        <v>191</v>
      </c>
      <c r="D208" s="48" t="s">
        <v>106</v>
      </c>
      <c r="E208" s="79" t="s">
        <v>537</v>
      </c>
      <c r="F208" s="57" t="s">
        <v>485</v>
      </c>
      <c r="G208" s="138">
        <v>15</v>
      </c>
      <c r="H208" s="47"/>
      <c r="I208" s="47">
        <v>85</v>
      </c>
      <c r="J208" s="47">
        <f t="shared" ref="J208:J235" si="3">I208-G208</f>
        <v>70</v>
      </c>
      <c r="K208" s="47"/>
      <c r="L208" s="47">
        <v>170</v>
      </c>
      <c r="M208" s="50">
        <v>50000</v>
      </c>
      <c r="N208" s="51">
        <v>1</v>
      </c>
      <c r="O208" s="50"/>
      <c r="P208" s="50"/>
    </row>
    <row r="209" spans="1:16" ht="15.6" x14ac:dyDescent="0.3">
      <c r="A209" s="56">
        <v>46228</v>
      </c>
      <c r="B209" s="57">
        <v>30087</v>
      </c>
      <c r="C209" s="48" t="s">
        <v>149</v>
      </c>
      <c r="D209" s="48" t="s">
        <v>150</v>
      </c>
      <c r="E209" s="76" t="s">
        <v>532</v>
      </c>
      <c r="F209" s="57" t="s">
        <v>484</v>
      </c>
      <c r="G209" s="79" t="s">
        <v>518</v>
      </c>
      <c r="H209" s="47"/>
      <c r="I209" s="47">
        <v>87</v>
      </c>
      <c r="J209" s="47">
        <f t="shared" si="3"/>
        <v>76</v>
      </c>
      <c r="K209" s="47"/>
      <c r="L209" s="47">
        <v>130</v>
      </c>
      <c r="M209" s="50"/>
      <c r="N209" s="51">
        <v>1</v>
      </c>
      <c r="O209" s="50"/>
      <c r="P209" s="50"/>
    </row>
    <row r="210" spans="1:16" ht="15.6" x14ac:dyDescent="0.3">
      <c r="A210" s="56">
        <v>46228</v>
      </c>
      <c r="B210" s="57">
        <v>18411</v>
      </c>
      <c r="C210" s="48" t="s">
        <v>28</v>
      </c>
      <c r="D210" s="48" t="s">
        <v>29</v>
      </c>
      <c r="E210" s="76" t="s">
        <v>544</v>
      </c>
      <c r="F210" s="57" t="s">
        <v>485</v>
      </c>
      <c r="G210" s="80" t="s">
        <v>526</v>
      </c>
      <c r="H210" s="47"/>
      <c r="I210" s="47">
        <v>97</v>
      </c>
      <c r="J210" s="47">
        <f t="shared" si="3"/>
        <v>72</v>
      </c>
      <c r="K210" s="47"/>
      <c r="L210" s="47">
        <v>160</v>
      </c>
      <c r="M210" s="50"/>
      <c r="N210" s="51">
        <v>1</v>
      </c>
      <c r="O210" s="50"/>
      <c r="P210" s="50"/>
    </row>
    <row r="211" spans="1:16" ht="15.6" x14ac:dyDescent="0.3">
      <c r="A211" s="56">
        <v>46228</v>
      </c>
      <c r="B211" s="72">
        <v>24140</v>
      </c>
      <c r="C211" s="73" t="s">
        <v>363</v>
      </c>
      <c r="D211" s="73" t="s">
        <v>119</v>
      </c>
      <c r="E211" s="76">
        <v>24.4</v>
      </c>
      <c r="F211" s="105" t="s">
        <v>485</v>
      </c>
      <c r="G211" s="79">
        <v>25</v>
      </c>
      <c r="H211" s="47"/>
      <c r="I211" s="47">
        <v>102</v>
      </c>
      <c r="J211" s="47">
        <f t="shared" si="3"/>
        <v>77</v>
      </c>
      <c r="K211" s="47"/>
      <c r="L211" s="47">
        <v>120</v>
      </c>
      <c r="M211" s="50"/>
      <c r="N211" s="51">
        <v>1</v>
      </c>
      <c r="O211" s="50"/>
      <c r="P211" s="50"/>
    </row>
    <row r="212" spans="1:16" ht="15.6" x14ac:dyDescent="0.3">
      <c r="A212" s="56">
        <v>46228</v>
      </c>
      <c r="B212" s="47">
        <v>24283</v>
      </c>
      <c r="C212" s="47" t="s">
        <v>287</v>
      </c>
      <c r="D212" s="47" t="s">
        <v>288</v>
      </c>
      <c r="E212" s="76">
        <v>27</v>
      </c>
      <c r="F212" s="57" t="s">
        <v>485</v>
      </c>
      <c r="G212" s="79" t="s">
        <v>502</v>
      </c>
      <c r="H212" s="47"/>
      <c r="I212" s="47">
        <v>105</v>
      </c>
      <c r="J212" s="47">
        <f t="shared" si="3"/>
        <v>77</v>
      </c>
      <c r="K212" s="47"/>
      <c r="L212" s="47">
        <v>120</v>
      </c>
      <c r="M212" s="50"/>
      <c r="N212" s="51">
        <v>1</v>
      </c>
      <c r="O212" s="50"/>
      <c r="P212" s="50"/>
    </row>
    <row r="213" spans="1:16" ht="15.6" x14ac:dyDescent="0.3">
      <c r="A213" s="56">
        <v>46228</v>
      </c>
      <c r="B213" s="57">
        <v>30572</v>
      </c>
      <c r="C213" s="48" t="s">
        <v>225</v>
      </c>
      <c r="D213" s="48" t="s">
        <v>226</v>
      </c>
      <c r="E213" s="76" t="s">
        <v>533</v>
      </c>
      <c r="F213" s="57" t="s">
        <v>485</v>
      </c>
      <c r="G213" s="79" t="s">
        <v>493</v>
      </c>
      <c r="H213" s="47"/>
      <c r="I213" s="47">
        <v>91</v>
      </c>
      <c r="J213" s="47">
        <f t="shared" si="3"/>
        <v>72</v>
      </c>
      <c r="K213" s="47"/>
      <c r="L213" s="47">
        <v>160</v>
      </c>
      <c r="M213" s="50"/>
      <c r="N213" s="51">
        <v>1</v>
      </c>
      <c r="O213" s="50"/>
      <c r="P213" s="50"/>
    </row>
    <row r="214" spans="1:16" ht="15.6" x14ac:dyDescent="0.3">
      <c r="A214" s="56">
        <v>46228</v>
      </c>
      <c r="B214" s="57">
        <v>31818</v>
      </c>
      <c r="C214" s="48" t="s">
        <v>235</v>
      </c>
      <c r="D214" s="48" t="s">
        <v>236</v>
      </c>
      <c r="E214" s="99" t="s">
        <v>519</v>
      </c>
      <c r="F214" s="100" t="s">
        <v>484</v>
      </c>
      <c r="G214" s="99" t="s">
        <v>493</v>
      </c>
      <c r="H214" s="47"/>
      <c r="I214" s="47">
        <v>89</v>
      </c>
      <c r="J214" s="47">
        <f t="shared" si="3"/>
        <v>70</v>
      </c>
      <c r="K214" s="47"/>
      <c r="L214" s="47">
        <v>170</v>
      </c>
      <c r="M214" s="50">
        <v>50000</v>
      </c>
      <c r="N214" s="51">
        <v>1</v>
      </c>
      <c r="O214" s="50"/>
      <c r="P214" s="50"/>
    </row>
    <row r="215" spans="1:16" ht="15.6" x14ac:dyDescent="0.3">
      <c r="A215" s="56">
        <v>46228</v>
      </c>
      <c r="B215" s="57">
        <v>27435</v>
      </c>
      <c r="C215" s="48" t="s">
        <v>151</v>
      </c>
      <c r="D215" s="48" t="s">
        <v>152</v>
      </c>
      <c r="E215" s="99" t="s">
        <v>510</v>
      </c>
      <c r="F215" s="100" t="s">
        <v>484</v>
      </c>
      <c r="G215" s="99" t="s">
        <v>498</v>
      </c>
      <c r="H215" s="47"/>
      <c r="I215" s="47">
        <v>79</v>
      </c>
      <c r="J215" s="47">
        <f t="shared" si="3"/>
        <v>67</v>
      </c>
      <c r="K215" s="47"/>
      <c r="L215" s="47">
        <v>190</v>
      </c>
      <c r="M215" s="50">
        <v>160000</v>
      </c>
      <c r="N215" s="51">
        <v>1</v>
      </c>
      <c r="O215" s="50"/>
      <c r="P215" s="50"/>
    </row>
    <row r="216" spans="1:16" ht="15.6" x14ac:dyDescent="0.3">
      <c r="A216" s="56">
        <v>46228</v>
      </c>
      <c r="B216" s="57">
        <v>16552</v>
      </c>
      <c r="C216" s="48" t="s">
        <v>272</v>
      </c>
      <c r="D216" s="48" t="s">
        <v>273</v>
      </c>
      <c r="E216" s="101" t="s">
        <v>540</v>
      </c>
      <c r="F216" s="101" t="s">
        <v>484</v>
      </c>
      <c r="G216" s="141" t="s">
        <v>498</v>
      </c>
      <c r="H216" s="47"/>
      <c r="I216" s="47">
        <v>87</v>
      </c>
      <c r="J216" s="47">
        <f t="shared" si="3"/>
        <v>75</v>
      </c>
      <c r="K216" s="47"/>
      <c r="L216" s="47">
        <v>140</v>
      </c>
      <c r="M216" s="50"/>
      <c r="N216" s="51">
        <v>1</v>
      </c>
      <c r="O216" s="50"/>
      <c r="P216" s="50"/>
    </row>
    <row r="217" spans="1:16" ht="15.6" x14ac:dyDescent="0.3">
      <c r="A217" s="56">
        <v>46228</v>
      </c>
      <c r="B217" s="57">
        <v>13625</v>
      </c>
      <c r="C217" s="48" t="s">
        <v>222</v>
      </c>
      <c r="D217" s="48" t="s">
        <v>223</v>
      </c>
      <c r="E217" s="57" t="s">
        <v>525</v>
      </c>
      <c r="F217" s="57" t="s">
        <v>484</v>
      </c>
      <c r="G217" s="138" t="s">
        <v>509</v>
      </c>
      <c r="H217" s="47"/>
      <c r="I217" s="47">
        <v>82</v>
      </c>
      <c r="J217" s="47">
        <f t="shared" si="3"/>
        <v>72</v>
      </c>
      <c r="K217" s="47"/>
      <c r="L217" s="47">
        <v>160</v>
      </c>
      <c r="M217" s="50"/>
      <c r="N217" s="51">
        <v>1</v>
      </c>
      <c r="O217" s="50"/>
      <c r="P217" s="50"/>
    </row>
    <row r="218" spans="1:16" ht="15.6" x14ac:dyDescent="0.3">
      <c r="A218" s="56">
        <v>46228</v>
      </c>
      <c r="B218" s="57">
        <v>12724</v>
      </c>
      <c r="C218" s="48" t="s">
        <v>460</v>
      </c>
      <c r="D218" s="48" t="s">
        <v>246</v>
      </c>
      <c r="E218" s="57" t="s">
        <v>508</v>
      </c>
      <c r="F218" s="57" t="s">
        <v>484</v>
      </c>
      <c r="G218" s="138" t="s">
        <v>509</v>
      </c>
      <c r="H218" s="47"/>
      <c r="I218" s="47">
        <v>74</v>
      </c>
      <c r="J218" s="47">
        <f t="shared" si="3"/>
        <v>64</v>
      </c>
      <c r="K218" s="47"/>
      <c r="L218" s="47">
        <v>200</v>
      </c>
      <c r="M218" s="50">
        <v>200000</v>
      </c>
      <c r="N218" s="51">
        <v>1</v>
      </c>
      <c r="O218" s="50"/>
      <c r="P218" s="50"/>
    </row>
    <row r="219" spans="1:16" ht="15.6" x14ac:dyDescent="0.3">
      <c r="A219" s="56">
        <v>46228</v>
      </c>
      <c r="B219" s="57">
        <v>28225</v>
      </c>
      <c r="C219" s="48" t="s">
        <v>222</v>
      </c>
      <c r="D219" s="48" t="s">
        <v>233</v>
      </c>
      <c r="E219" s="57" t="s">
        <v>491</v>
      </c>
      <c r="F219" s="57" t="s">
        <v>484</v>
      </c>
      <c r="G219" s="138" t="s">
        <v>539</v>
      </c>
      <c r="H219" s="47"/>
      <c r="I219" s="47">
        <v>95</v>
      </c>
      <c r="J219" s="47">
        <f t="shared" si="3"/>
        <v>81</v>
      </c>
      <c r="K219" s="47"/>
      <c r="L219" s="47">
        <v>100</v>
      </c>
      <c r="M219" s="50"/>
      <c r="N219" s="51">
        <v>1</v>
      </c>
      <c r="O219" s="50"/>
      <c r="P219" s="50"/>
    </row>
    <row r="220" spans="1:16" ht="15.6" x14ac:dyDescent="0.3">
      <c r="A220" s="56">
        <v>46235</v>
      </c>
      <c r="B220" s="47">
        <v>24283</v>
      </c>
      <c r="C220" s="47" t="s">
        <v>287</v>
      </c>
      <c r="D220" s="47" t="s">
        <v>288</v>
      </c>
      <c r="E220" s="124">
        <v>27</v>
      </c>
      <c r="F220" s="57" t="s">
        <v>485</v>
      </c>
      <c r="G220" s="79" t="s">
        <v>502</v>
      </c>
      <c r="H220" s="47"/>
      <c r="I220" s="47"/>
      <c r="J220" s="47">
        <f t="shared" si="3"/>
        <v>-28</v>
      </c>
      <c r="K220" s="47"/>
      <c r="L220" s="47"/>
      <c r="M220" s="50"/>
      <c r="N220" s="51">
        <v>1</v>
      </c>
      <c r="O220" s="50"/>
      <c r="P220" s="50"/>
    </row>
    <row r="221" spans="1:16" ht="15.6" x14ac:dyDescent="0.3">
      <c r="A221" s="56">
        <v>46235</v>
      </c>
      <c r="B221" s="57">
        <v>15107</v>
      </c>
      <c r="C221" s="48" t="s">
        <v>153</v>
      </c>
      <c r="D221" s="48" t="s">
        <v>154</v>
      </c>
      <c r="E221" s="124" t="s">
        <v>530</v>
      </c>
      <c r="F221" s="57" t="s">
        <v>484</v>
      </c>
      <c r="G221" s="79" t="s">
        <v>493</v>
      </c>
      <c r="H221" s="47"/>
      <c r="I221" s="47"/>
      <c r="J221" s="47">
        <f t="shared" si="3"/>
        <v>-19</v>
      </c>
      <c r="K221" s="47"/>
      <c r="L221" s="47"/>
      <c r="M221" s="50"/>
      <c r="N221" s="51">
        <v>1</v>
      </c>
      <c r="O221" s="50"/>
      <c r="P221" s="50"/>
    </row>
    <row r="222" spans="1:16" ht="15.6" x14ac:dyDescent="0.3">
      <c r="A222" s="56">
        <v>46235</v>
      </c>
      <c r="B222" s="57">
        <v>30087</v>
      </c>
      <c r="C222" s="48" t="s">
        <v>149</v>
      </c>
      <c r="D222" s="48" t="s">
        <v>150</v>
      </c>
      <c r="E222" s="124" t="s">
        <v>532</v>
      </c>
      <c r="F222" s="57" t="s">
        <v>484</v>
      </c>
      <c r="G222" s="79" t="s">
        <v>518</v>
      </c>
      <c r="H222" s="47"/>
      <c r="I222" s="47"/>
      <c r="J222" s="47">
        <f t="shared" si="3"/>
        <v>-11</v>
      </c>
      <c r="K222" s="47"/>
      <c r="L222" s="47"/>
      <c r="M222" s="50"/>
      <c r="N222" s="51">
        <v>1</v>
      </c>
      <c r="O222" s="50"/>
      <c r="P222" s="50"/>
    </row>
    <row r="223" spans="1:16" ht="15.6" x14ac:dyDescent="0.3">
      <c r="A223" s="56">
        <v>46235</v>
      </c>
      <c r="B223" s="57">
        <v>30572</v>
      </c>
      <c r="C223" s="48" t="s">
        <v>225</v>
      </c>
      <c r="D223" s="48" t="s">
        <v>226</v>
      </c>
      <c r="E223" s="124" t="s">
        <v>533</v>
      </c>
      <c r="F223" s="57" t="s">
        <v>485</v>
      </c>
      <c r="G223" s="79" t="s">
        <v>493</v>
      </c>
      <c r="H223" s="47"/>
      <c r="I223" s="47"/>
      <c r="J223" s="47">
        <f t="shared" si="3"/>
        <v>-19</v>
      </c>
      <c r="K223" s="47"/>
      <c r="L223" s="47"/>
      <c r="M223" s="50"/>
      <c r="N223" s="51">
        <v>1</v>
      </c>
      <c r="O223" s="50"/>
      <c r="P223" s="50"/>
    </row>
    <row r="224" spans="1:16" ht="15.6" x14ac:dyDescent="0.3">
      <c r="A224" s="56">
        <v>46235</v>
      </c>
      <c r="B224" s="61">
        <v>21865</v>
      </c>
      <c r="C224" s="53" t="s">
        <v>107</v>
      </c>
      <c r="D224" s="53" t="s">
        <v>108</v>
      </c>
      <c r="E224" s="124" t="s">
        <v>534</v>
      </c>
      <c r="F224" s="57" t="s">
        <v>485</v>
      </c>
      <c r="G224" s="79">
        <v>16</v>
      </c>
      <c r="H224" s="47"/>
      <c r="I224" s="47"/>
      <c r="J224" s="47">
        <f t="shared" si="3"/>
        <v>-16</v>
      </c>
      <c r="K224" s="47"/>
      <c r="L224" s="47"/>
      <c r="M224" s="50"/>
      <c r="N224" s="51">
        <v>1</v>
      </c>
      <c r="O224" s="50"/>
      <c r="P224" s="50"/>
    </row>
    <row r="225" spans="1:16" ht="15.6" x14ac:dyDescent="0.3">
      <c r="A225" s="56">
        <v>46235</v>
      </c>
      <c r="B225" s="57">
        <v>7891</v>
      </c>
      <c r="C225" s="48" t="s">
        <v>220</v>
      </c>
      <c r="D225" s="48" t="s">
        <v>221</v>
      </c>
      <c r="E225" s="124" t="s">
        <v>535</v>
      </c>
      <c r="F225" s="57" t="s">
        <v>485</v>
      </c>
      <c r="G225" s="79" t="s">
        <v>488</v>
      </c>
      <c r="H225" s="47"/>
      <c r="I225" s="47"/>
      <c r="J225" s="47">
        <f t="shared" si="3"/>
        <v>-18</v>
      </c>
      <c r="K225" s="47"/>
      <c r="L225" s="47"/>
      <c r="M225" s="50"/>
      <c r="N225" s="51">
        <v>1</v>
      </c>
      <c r="O225" s="50"/>
      <c r="P225" s="50"/>
    </row>
    <row r="226" spans="1:16" ht="15.6" x14ac:dyDescent="0.3">
      <c r="A226" s="56">
        <v>46235</v>
      </c>
      <c r="B226" s="57">
        <v>4080</v>
      </c>
      <c r="C226" s="48" t="s">
        <v>191</v>
      </c>
      <c r="D226" s="48" t="s">
        <v>106</v>
      </c>
      <c r="E226" s="125" t="s">
        <v>537</v>
      </c>
      <c r="F226" s="57" t="s">
        <v>485</v>
      </c>
      <c r="G226" s="138">
        <v>15</v>
      </c>
      <c r="H226" s="47"/>
      <c r="I226" s="47"/>
      <c r="J226" s="47">
        <f t="shared" si="3"/>
        <v>-15</v>
      </c>
      <c r="K226" s="47"/>
      <c r="L226" s="47"/>
      <c r="M226" s="50"/>
      <c r="N226" s="51">
        <v>1</v>
      </c>
      <c r="O226" s="50"/>
      <c r="P226" s="50"/>
    </row>
    <row r="227" spans="1:16" ht="15.6" x14ac:dyDescent="0.3">
      <c r="A227" s="56">
        <v>46235</v>
      </c>
      <c r="B227" s="60">
        <v>18908</v>
      </c>
      <c r="C227" s="53" t="s">
        <v>190</v>
      </c>
      <c r="D227" s="53" t="s">
        <v>88</v>
      </c>
      <c r="E227" s="126" t="s">
        <v>538</v>
      </c>
      <c r="F227" s="126" t="s">
        <v>484</v>
      </c>
      <c r="G227" s="139">
        <v>10</v>
      </c>
      <c r="H227" s="47"/>
      <c r="I227" s="47"/>
      <c r="J227" s="47">
        <f t="shared" si="3"/>
        <v>-10</v>
      </c>
      <c r="K227" s="47"/>
      <c r="L227" s="47"/>
      <c r="M227" s="50"/>
      <c r="N227" s="51">
        <v>1</v>
      </c>
      <c r="O227" s="50"/>
      <c r="P227" s="50"/>
    </row>
    <row r="228" spans="1:16" ht="15.6" x14ac:dyDescent="0.3">
      <c r="A228" s="56">
        <v>46235</v>
      </c>
      <c r="B228" s="57">
        <v>26953</v>
      </c>
      <c r="C228" s="48" t="s">
        <v>120</v>
      </c>
      <c r="D228" s="48" t="s">
        <v>121</v>
      </c>
      <c r="E228" s="101" t="s">
        <v>512</v>
      </c>
      <c r="F228" s="57" t="s">
        <v>484</v>
      </c>
      <c r="G228" s="138" t="s">
        <v>513</v>
      </c>
      <c r="H228" s="47"/>
      <c r="I228" s="47"/>
      <c r="J228" s="47">
        <f t="shared" si="3"/>
        <v>-8</v>
      </c>
      <c r="K228" s="47"/>
      <c r="L228" s="47"/>
      <c r="M228" s="50"/>
      <c r="N228" s="51">
        <v>1</v>
      </c>
      <c r="O228" s="50"/>
      <c r="P228" s="50"/>
    </row>
    <row r="229" spans="1:16" ht="15.6" x14ac:dyDescent="0.3">
      <c r="A229" s="56">
        <v>46235</v>
      </c>
      <c r="B229" s="57">
        <v>13625</v>
      </c>
      <c r="C229" s="48" t="s">
        <v>222</v>
      </c>
      <c r="D229" s="48" t="s">
        <v>223</v>
      </c>
      <c r="E229" s="57" t="s">
        <v>525</v>
      </c>
      <c r="F229" s="57" t="s">
        <v>484</v>
      </c>
      <c r="G229" s="138" t="s">
        <v>509</v>
      </c>
      <c r="H229" s="47"/>
      <c r="I229" s="47"/>
      <c r="J229" s="47">
        <f t="shared" si="3"/>
        <v>-10</v>
      </c>
      <c r="K229" s="47"/>
      <c r="L229" s="47"/>
      <c r="M229" s="50"/>
      <c r="N229" s="51">
        <v>1</v>
      </c>
      <c r="O229" s="50"/>
      <c r="P229" s="50"/>
    </row>
    <row r="230" spans="1:16" ht="15.6" x14ac:dyDescent="0.3">
      <c r="A230" s="56">
        <v>46235</v>
      </c>
      <c r="B230" s="57">
        <v>12724</v>
      </c>
      <c r="C230" s="48" t="s">
        <v>460</v>
      </c>
      <c r="D230" s="48" t="s">
        <v>246</v>
      </c>
      <c r="E230" s="57" t="s">
        <v>508</v>
      </c>
      <c r="F230" s="57" t="s">
        <v>484</v>
      </c>
      <c r="G230" s="138" t="s">
        <v>509</v>
      </c>
      <c r="H230" s="47"/>
      <c r="I230" s="47"/>
      <c r="J230" s="47">
        <f t="shared" si="3"/>
        <v>-10</v>
      </c>
      <c r="K230" s="47"/>
      <c r="L230" s="47"/>
      <c r="M230" s="50"/>
      <c r="N230" s="51">
        <v>1</v>
      </c>
      <c r="O230" s="50"/>
      <c r="P230" s="50"/>
    </row>
    <row r="231" spans="1:16" ht="15.6" x14ac:dyDescent="0.3">
      <c r="A231" s="56">
        <v>46235</v>
      </c>
      <c r="B231" s="57">
        <v>28225</v>
      </c>
      <c r="C231" s="48" t="s">
        <v>222</v>
      </c>
      <c r="D231" s="48" t="s">
        <v>233</v>
      </c>
      <c r="E231" s="57" t="s">
        <v>491</v>
      </c>
      <c r="F231" s="57" t="s">
        <v>484</v>
      </c>
      <c r="G231" s="138" t="s">
        <v>539</v>
      </c>
      <c r="H231" s="47"/>
      <c r="I231" s="47"/>
      <c r="J231" s="47">
        <f t="shared" si="3"/>
        <v>-14</v>
      </c>
      <c r="K231" s="47"/>
      <c r="L231" s="47"/>
      <c r="M231" s="50"/>
      <c r="N231" s="51">
        <v>1</v>
      </c>
      <c r="O231" s="50"/>
      <c r="P231" s="50"/>
    </row>
    <row r="232" spans="1:16" ht="15.6" x14ac:dyDescent="0.3">
      <c r="A232" s="56">
        <v>46235</v>
      </c>
      <c r="B232" s="57">
        <v>16552</v>
      </c>
      <c r="C232" s="48" t="s">
        <v>272</v>
      </c>
      <c r="D232" s="48" t="s">
        <v>273</v>
      </c>
      <c r="E232" s="101" t="s">
        <v>540</v>
      </c>
      <c r="F232" s="101" t="s">
        <v>484</v>
      </c>
      <c r="G232" s="80">
        <v>12</v>
      </c>
      <c r="H232" s="47"/>
      <c r="I232" s="47"/>
      <c r="J232" s="47">
        <f t="shared" si="3"/>
        <v>-12</v>
      </c>
      <c r="K232" s="47"/>
      <c r="L232" s="47"/>
      <c r="M232" s="50"/>
      <c r="N232" s="51">
        <v>1</v>
      </c>
      <c r="O232" s="50"/>
      <c r="P232" s="50"/>
    </row>
    <row r="233" spans="1:16" ht="15.6" x14ac:dyDescent="0.3">
      <c r="A233" s="56">
        <v>46235</v>
      </c>
      <c r="B233" s="57">
        <v>16260</v>
      </c>
      <c r="C233" s="48" t="s">
        <v>270</v>
      </c>
      <c r="D233" s="48" t="s">
        <v>271</v>
      </c>
      <c r="E233" s="124" t="s">
        <v>542</v>
      </c>
      <c r="F233" s="57" t="s">
        <v>484</v>
      </c>
      <c r="G233" s="79" t="s">
        <v>493</v>
      </c>
      <c r="H233" s="47"/>
      <c r="I233" s="47"/>
      <c r="J233" s="47">
        <f t="shared" si="3"/>
        <v>-19</v>
      </c>
      <c r="K233" s="47"/>
      <c r="L233" s="47"/>
      <c r="M233" s="50"/>
      <c r="N233" s="51">
        <v>1</v>
      </c>
      <c r="O233" s="50"/>
      <c r="P233" s="50"/>
    </row>
    <row r="234" spans="1:16" ht="15.6" x14ac:dyDescent="0.3">
      <c r="A234" s="56">
        <v>46235</v>
      </c>
      <c r="B234" s="57">
        <v>18411</v>
      </c>
      <c r="C234" s="48" t="s">
        <v>28</v>
      </c>
      <c r="D234" s="48" t="s">
        <v>29</v>
      </c>
      <c r="E234" s="124" t="s">
        <v>544</v>
      </c>
      <c r="F234" s="57" t="s">
        <v>485</v>
      </c>
      <c r="G234" s="80" t="s">
        <v>526</v>
      </c>
      <c r="H234" s="47"/>
      <c r="I234" s="47"/>
      <c r="J234" s="47">
        <f t="shared" si="3"/>
        <v>-25</v>
      </c>
      <c r="K234" s="47"/>
      <c r="L234" s="47"/>
      <c r="M234" s="50"/>
      <c r="N234" s="51">
        <v>1</v>
      </c>
      <c r="O234" s="50"/>
      <c r="P234" s="50"/>
    </row>
    <row r="235" spans="1:16" ht="15.6" x14ac:dyDescent="0.3">
      <c r="A235" s="56">
        <v>46235</v>
      </c>
      <c r="B235" s="127">
        <v>33318</v>
      </c>
      <c r="C235" s="47" t="s">
        <v>545</v>
      </c>
      <c r="D235" s="53" t="s">
        <v>97</v>
      </c>
      <c r="E235" s="62">
        <v>8.1999999999999993</v>
      </c>
      <c r="F235" s="57" t="s">
        <v>484</v>
      </c>
      <c r="G235" s="99">
        <v>8</v>
      </c>
      <c r="H235" s="47"/>
      <c r="I235" s="47"/>
      <c r="J235" s="47">
        <f t="shared" si="3"/>
        <v>-8</v>
      </c>
      <c r="K235" s="47"/>
      <c r="L235" s="47"/>
      <c r="M235" s="50"/>
      <c r="N235" s="51">
        <v>1</v>
      </c>
      <c r="O235" s="50"/>
      <c r="P235" s="50"/>
    </row>
    <row r="236" spans="1:16" x14ac:dyDescent="0.3">
      <c r="A236" s="11"/>
    </row>
    <row r="237" spans="1:16" x14ac:dyDescent="0.3">
      <c r="A237" s="11"/>
    </row>
    <row r="238" spans="1:16" x14ac:dyDescent="0.3">
      <c r="A238" s="11"/>
    </row>
    <row r="239" spans="1:16" x14ac:dyDescent="0.3">
      <c r="A239" s="11"/>
    </row>
    <row r="240" spans="1:16" x14ac:dyDescent="0.3">
      <c r="A240" s="11"/>
    </row>
    <row r="241" spans="1:1" x14ac:dyDescent="0.3">
      <c r="A241" s="11"/>
    </row>
    <row r="242" spans="1:1" x14ac:dyDescent="0.3">
      <c r="A242" s="11"/>
    </row>
    <row r="243" spans="1:1" x14ac:dyDescent="0.3">
      <c r="A243" s="11"/>
    </row>
    <row r="244" spans="1:1" x14ac:dyDescent="0.3">
      <c r="A244" s="11"/>
    </row>
    <row r="245" spans="1:1" x14ac:dyDescent="0.3">
      <c r="A245" s="11"/>
    </row>
    <row r="246" spans="1:1" x14ac:dyDescent="0.3">
      <c r="A246" s="11"/>
    </row>
    <row r="247" spans="1:1" x14ac:dyDescent="0.3">
      <c r="A247" s="11"/>
    </row>
    <row r="248" spans="1:1" x14ac:dyDescent="0.3">
      <c r="A248" s="11"/>
    </row>
    <row r="249" spans="1:1" x14ac:dyDescent="0.3">
      <c r="A249" s="11"/>
    </row>
    <row r="250" spans="1:1" x14ac:dyDescent="0.3">
      <c r="A250" s="11"/>
    </row>
    <row r="251" spans="1:1" x14ac:dyDescent="0.3">
      <c r="A251" s="11"/>
    </row>
    <row r="252" spans="1:1" x14ac:dyDescent="0.3">
      <c r="A252" s="11"/>
    </row>
    <row r="253" spans="1:1" x14ac:dyDescent="0.3">
      <c r="A253" s="11"/>
    </row>
    <row r="254" spans="1:1" x14ac:dyDescent="0.3">
      <c r="A254" s="11"/>
    </row>
    <row r="255" spans="1:1" x14ac:dyDescent="0.3">
      <c r="A255" s="11"/>
    </row>
    <row r="256" spans="1:1" x14ac:dyDescent="0.3">
      <c r="A256" s="11"/>
    </row>
    <row r="257" spans="1:1" x14ac:dyDescent="0.3">
      <c r="A257" s="11"/>
    </row>
    <row r="258" spans="1:1" x14ac:dyDescent="0.3">
      <c r="A258" s="11"/>
    </row>
    <row r="259" spans="1:1" x14ac:dyDescent="0.3">
      <c r="A259" s="11"/>
    </row>
    <row r="260" spans="1:1" x14ac:dyDescent="0.3">
      <c r="A260" s="11"/>
    </row>
    <row r="261" spans="1:1" x14ac:dyDescent="0.3">
      <c r="A261" s="11"/>
    </row>
    <row r="262" spans="1:1" x14ac:dyDescent="0.3">
      <c r="A262" s="11"/>
    </row>
    <row r="263" spans="1:1" x14ac:dyDescent="0.3">
      <c r="A263" s="11"/>
    </row>
    <row r="264" spans="1:1" x14ac:dyDescent="0.3">
      <c r="A264" s="11"/>
    </row>
    <row r="265" spans="1:1" x14ac:dyDescent="0.3">
      <c r="A265" s="11"/>
    </row>
    <row r="266" spans="1:1" x14ac:dyDescent="0.3">
      <c r="A266" s="11"/>
    </row>
    <row r="267" spans="1:1" x14ac:dyDescent="0.3">
      <c r="A267" s="11"/>
    </row>
    <row r="268" spans="1:1" x14ac:dyDescent="0.3">
      <c r="A268" s="11"/>
    </row>
    <row r="269" spans="1:1" x14ac:dyDescent="0.3">
      <c r="A269" s="11"/>
    </row>
    <row r="270" spans="1:1" x14ac:dyDescent="0.3">
      <c r="A270" s="11"/>
    </row>
    <row r="271" spans="1:1" x14ac:dyDescent="0.3">
      <c r="A271" s="11"/>
    </row>
    <row r="272" spans="1:1" x14ac:dyDescent="0.3">
      <c r="A272" s="11"/>
    </row>
    <row r="273" spans="1:1" x14ac:dyDescent="0.3">
      <c r="A273" s="11"/>
    </row>
    <row r="274" spans="1:1" x14ac:dyDescent="0.3">
      <c r="A274" s="11"/>
    </row>
    <row r="275" spans="1:1" x14ac:dyDescent="0.3">
      <c r="A275" s="11"/>
    </row>
    <row r="276" spans="1:1" x14ac:dyDescent="0.3">
      <c r="A276" s="11"/>
    </row>
    <row r="277" spans="1:1" x14ac:dyDescent="0.3">
      <c r="A277" s="11"/>
    </row>
    <row r="278" spans="1:1" x14ac:dyDescent="0.3">
      <c r="A278" s="11"/>
    </row>
    <row r="279" spans="1:1" x14ac:dyDescent="0.3">
      <c r="A279" s="11"/>
    </row>
    <row r="280" spans="1:1" x14ac:dyDescent="0.3">
      <c r="A280" s="11"/>
    </row>
    <row r="281" spans="1:1" x14ac:dyDescent="0.3">
      <c r="A281" s="11"/>
    </row>
    <row r="282" spans="1:1" x14ac:dyDescent="0.3">
      <c r="A282" s="11"/>
    </row>
    <row r="283" spans="1:1" x14ac:dyDescent="0.3">
      <c r="A283" s="11"/>
    </row>
    <row r="284" spans="1:1" x14ac:dyDescent="0.3">
      <c r="A284" s="11"/>
    </row>
    <row r="285" spans="1:1" x14ac:dyDescent="0.3">
      <c r="A285" s="11"/>
    </row>
    <row r="286" spans="1:1" x14ac:dyDescent="0.3">
      <c r="A286" s="11"/>
    </row>
    <row r="287" spans="1:1" x14ac:dyDescent="0.3">
      <c r="A287" s="11"/>
    </row>
    <row r="288" spans="1:1" x14ac:dyDescent="0.3">
      <c r="A288" s="11"/>
    </row>
    <row r="289" spans="1:1" x14ac:dyDescent="0.3">
      <c r="A289" s="11"/>
    </row>
    <row r="290" spans="1:1" x14ac:dyDescent="0.3">
      <c r="A290" s="11"/>
    </row>
    <row r="291" spans="1:1" x14ac:dyDescent="0.3">
      <c r="A291" s="11"/>
    </row>
    <row r="292" spans="1:1" x14ac:dyDescent="0.3">
      <c r="A292" s="11"/>
    </row>
    <row r="293" spans="1:1" x14ac:dyDescent="0.3">
      <c r="A293" s="11"/>
    </row>
    <row r="294" spans="1:1" x14ac:dyDescent="0.3">
      <c r="A294" s="11"/>
    </row>
    <row r="295" spans="1:1" x14ac:dyDescent="0.3">
      <c r="A295" s="11"/>
    </row>
    <row r="296" spans="1:1" x14ac:dyDescent="0.3">
      <c r="A296" s="11"/>
    </row>
    <row r="297" spans="1:1" x14ac:dyDescent="0.3">
      <c r="A297" s="11"/>
    </row>
    <row r="298" spans="1:1" x14ac:dyDescent="0.3">
      <c r="A298" s="11"/>
    </row>
    <row r="299" spans="1:1" x14ac:dyDescent="0.3">
      <c r="A299" s="11"/>
    </row>
    <row r="300" spans="1:1" x14ac:dyDescent="0.3">
      <c r="A300" s="11"/>
    </row>
    <row r="301" spans="1:1" x14ac:dyDescent="0.3">
      <c r="A301" s="11"/>
    </row>
    <row r="302" spans="1:1" x14ac:dyDescent="0.3">
      <c r="A302" s="11"/>
    </row>
    <row r="303" spans="1:1" x14ac:dyDescent="0.3">
      <c r="A303" s="11"/>
    </row>
    <row r="304" spans="1:1" x14ac:dyDescent="0.3">
      <c r="A304" s="11"/>
    </row>
    <row r="305" spans="1:1" x14ac:dyDescent="0.3">
      <c r="A305" s="11"/>
    </row>
    <row r="306" spans="1:1" x14ac:dyDescent="0.3">
      <c r="A306" s="11"/>
    </row>
    <row r="307" spans="1:1" x14ac:dyDescent="0.3">
      <c r="A307" s="11"/>
    </row>
    <row r="308" spans="1:1" x14ac:dyDescent="0.3">
      <c r="A308" s="11"/>
    </row>
    <row r="309" spans="1:1" x14ac:dyDescent="0.3">
      <c r="A309" s="11"/>
    </row>
    <row r="310" spans="1:1" x14ac:dyDescent="0.3">
      <c r="A310" s="11"/>
    </row>
    <row r="311" spans="1:1" x14ac:dyDescent="0.3">
      <c r="A311" s="11"/>
    </row>
    <row r="312" spans="1:1" x14ac:dyDescent="0.3">
      <c r="A312" s="11"/>
    </row>
    <row r="313" spans="1:1" x14ac:dyDescent="0.3">
      <c r="A313" s="11"/>
    </row>
    <row r="314" spans="1:1" x14ac:dyDescent="0.3">
      <c r="A314" s="11"/>
    </row>
    <row r="315" spans="1:1" x14ac:dyDescent="0.3">
      <c r="A315" s="11"/>
    </row>
    <row r="316" spans="1:1" x14ac:dyDescent="0.3">
      <c r="A316" s="11"/>
    </row>
    <row r="317" spans="1:1" x14ac:dyDescent="0.3">
      <c r="A317" s="11"/>
    </row>
    <row r="318" spans="1:1" x14ac:dyDescent="0.3">
      <c r="A318" s="11"/>
    </row>
    <row r="319" spans="1:1" x14ac:dyDescent="0.3">
      <c r="A319" s="11"/>
    </row>
    <row r="320" spans="1:1" x14ac:dyDescent="0.3">
      <c r="A320" s="11"/>
    </row>
    <row r="321" spans="1:1" x14ac:dyDescent="0.3">
      <c r="A321" s="11"/>
    </row>
    <row r="322" spans="1:1" x14ac:dyDescent="0.3">
      <c r="A322" s="11"/>
    </row>
    <row r="323" spans="1:1" x14ac:dyDescent="0.3">
      <c r="A323" s="11"/>
    </row>
    <row r="324" spans="1:1" x14ac:dyDescent="0.3">
      <c r="A324" s="11"/>
    </row>
    <row r="325" spans="1:1" x14ac:dyDescent="0.3">
      <c r="A325" s="11"/>
    </row>
    <row r="326" spans="1:1" x14ac:dyDescent="0.3">
      <c r="A326" s="11"/>
    </row>
    <row r="327" spans="1:1" x14ac:dyDescent="0.3">
      <c r="A327" s="11"/>
    </row>
    <row r="328" spans="1:1" x14ac:dyDescent="0.3">
      <c r="A328" s="11"/>
    </row>
    <row r="329" spans="1:1" x14ac:dyDescent="0.3">
      <c r="A329" s="11"/>
    </row>
    <row r="330" spans="1:1" x14ac:dyDescent="0.3">
      <c r="A330" s="11"/>
    </row>
    <row r="331" spans="1:1" x14ac:dyDescent="0.3">
      <c r="A331" s="11"/>
    </row>
    <row r="332" spans="1:1" x14ac:dyDescent="0.3">
      <c r="A332" s="11"/>
    </row>
    <row r="333" spans="1:1" x14ac:dyDescent="0.3">
      <c r="A333" s="11"/>
    </row>
    <row r="334" spans="1:1" x14ac:dyDescent="0.3">
      <c r="A334" s="11"/>
    </row>
    <row r="335" spans="1:1" x14ac:dyDescent="0.3">
      <c r="A335" s="11"/>
    </row>
    <row r="336" spans="1:1" x14ac:dyDescent="0.3">
      <c r="A336" s="11"/>
    </row>
    <row r="337" spans="1:1" x14ac:dyDescent="0.3">
      <c r="A337" s="11"/>
    </row>
    <row r="338" spans="1:1" x14ac:dyDescent="0.3">
      <c r="A338" s="11"/>
    </row>
    <row r="339" spans="1:1" x14ac:dyDescent="0.3">
      <c r="A339" s="11"/>
    </row>
    <row r="340" spans="1:1" x14ac:dyDescent="0.3">
      <c r="A340" s="11"/>
    </row>
    <row r="341" spans="1:1" x14ac:dyDescent="0.3">
      <c r="A341" s="11"/>
    </row>
    <row r="342" spans="1:1" x14ac:dyDescent="0.3">
      <c r="A342" s="11"/>
    </row>
    <row r="343" spans="1:1" x14ac:dyDescent="0.3">
      <c r="A343" s="11"/>
    </row>
    <row r="344" spans="1:1" x14ac:dyDescent="0.3">
      <c r="A344" s="11"/>
    </row>
    <row r="345" spans="1:1" x14ac:dyDescent="0.3">
      <c r="A345" s="11"/>
    </row>
    <row r="346" spans="1:1" x14ac:dyDescent="0.3">
      <c r="A346" s="11"/>
    </row>
    <row r="347" spans="1:1" x14ac:dyDescent="0.3">
      <c r="A347" s="11"/>
    </row>
    <row r="348" spans="1:1" x14ac:dyDescent="0.3">
      <c r="A348" s="11"/>
    </row>
    <row r="349" spans="1:1" x14ac:dyDescent="0.3">
      <c r="A349" s="11"/>
    </row>
    <row r="350" spans="1:1" x14ac:dyDescent="0.3">
      <c r="A350" s="11"/>
    </row>
    <row r="351" spans="1:1" x14ac:dyDescent="0.3">
      <c r="A351" s="11"/>
    </row>
  </sheetData>
  <sortState xmlns:xlrd2="http://schemas.microsoft.com/office/spreadsheetml/2017/richdata2" ref="A2:P40">
    <sortCondition ref="J4:J40"/>
  </sortState>
  <phoneticPr fontId="10" type="noConversion"/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70DA1-3B13-4F0F-B225-827BF420CED5}">
  <sheetPr codeName="Hoja6"/>
  <dimension ref="A1:Y21"/>
  <sheetViews>
    <sheetView topLeftCell="K1" zoomScale="175" zoomScaleNormal="175" workbookViewId="0">
      <selection activeCell="O14" sqref="O14"/>
    </sheetView>
  </sheetViews>
  <sheetFormatPr baseColWidth="10" defaultColWidth="11.44140625" defaultRowHeight="14.4" x14ac:dyDescent="0.3"/>
  <cols>
    <col min="1" max="1" width="8.109375" bestFit="1" customWidth="1"/>
    <col min="2" max="2" width="8" bestFit="1" customWidth="1"/>
    <col min="3" max="3" width="8.44140625" bestFit="1" customWidth="1"/>
    <col min="4" max="4" width="1.77734375" customWidth="1"/>
    <col min="5" max="5" width="9.109375" bestFit="1" customWidth="1"/>
    <col min="6" max="6" width="11.77734375" bestFit="1" customWidth="1"/>
    <col min="7" max="7" width="1.77734375" customWidth="1"/>
    <col min="8" max="8" width="9.109375" bestFit="1" customWidth="1"/>
    <col min="9" max="9" width="11.77734375" bestFit="1" customWidth="1"/>
    <col min="10" max="10" width="6" bestFit="1" customWidth="1"/>
    <col min="11" max="11" width="1.6640625" customWidth="1"/>
    <col min="12" max="12" width="9.109375" bestFit="1" customWidth="1"/>
    <col min="13" max="13" width="10.33203125" bestFit="1" customWidth="1"/>
    <col min="14" max="14" width="1.88671875" customWidth="1"/>
    <col min="15" max="15" width="9.109375" bestFit="1" customWidth="1"/>
    <col min="16" max="16" width="10.33203125" bestFit="1" customWidth="1"/>
    <col min="17" max="17" width="1.77734375" customWidth="1"/>
    <col min="18" max="18" width="9.109375" bestFit="1" customWidth="1"/>
    <col min="19" max="19" width="11.88671875" bestFit="1" customWidth="1"/>
    <col min="20" max="20" width="1.77734375" customWidth="1"/>
    <col min="21" max="21" width="9.109375" bestFit="1" customWidth="1"/>
    <col min="22" max="22" width="11.77734375" bestFit="1" customWidth="1"/>
    <col min="23" max="23" width="1.77734375" customWidth="1"/>
    <col min="25" max="25" width="11.77734375" bestFit="1" customWidth="1"/>
  </cols>
  <sheetData>
    <row r="1" spans="1:25" x14ac:dyDescent="0.3">
      <c r="A1" t="s">
        <v>391</v>
      </c>
      <c r="B1" t="s">
        <v>392</v>
      </c>
      <c r="C1" t="s">
        <v>393</v>
      </c>
      <c r="E1" t="s">
        <v>394</v>
      </c>
      <c r="F1">
        <v>8</v>
      </c>
      <c r="L1" t="s">
        <v>394</v>
      </c>
      <c r="M1">
        <v>3</v>
      </c>
      <c r="O1" t="s">
        <v>394</v>
      </c>
      <c r="P1">
        <v>4</v>
      </c>
      <c r="R1" t="s">
        <v>394</v>
      </c>
      <c r="S1">
        <v>5</v>
      </c>
      <c r="U1" t="s">
        <v>394</v>
      </c>
      <c r="V1">
        <v>6</v>
      </c>
      <c r="X1" t="s">
        <v>394</v>
      </c>
      <c r="Y1">
        <v>7</v>
      </c>
    </row>
    <row r="2" spans="1:25" x14ac:dyDescent="0.3">
      <c r="A2">
        <v>100</v>
      </c>
      <c r="B2">
        <v>200</v>
      </c>
      <c r="C2">
        <v>100</v>
      </c>
      <c r="E2" t="s">
        <v>387</v>
      </c>
      <c r="F2" s="10">
        <f>((F1*4)-4)*60000</f>
        <v>1680000</v>
      </c>
      <c r="L2" t="s">
        <v>387</v>
      </c>
      <c r="M2" s="10">
        <f>((M1*4)-3)*60000</f>
        <v>540000</v>
      </c>
      <c r="O2" t="s">
        <v>387</v>
      </c>
      <c r="P2" s="10">
        <f>((P1*4)-4)*60000</f>
        <v>720000</v>
      </c>
      <c r="R2" t="s">
        <v>387</v>
      </c>
      <c r="S2" s="10">
        <f>((S1*4)-5)*60000</f>
        <v>900000</v>
      </c>
      <c r="U2" t="s">
        <v>387</v>
      </c>
      <c r="V2" s="10">
        <f>((V1*4)-6)*60000</f>
        <v>1080000</v>
      </c>
      <c r="X2" t="s">
        <v>387</v>
      </c>
      <c r="Y2" s="10">
        <f>((Y1*4)-7)*60000</f>
        <v>1260000</v>
      </c>
    </row>
    <row r="3" spans="1:25" x14ac:dyDescent="0.3">
      <c r="A3">
        <f>+A2-5</f>
        <v>95</v>
      </c>
      <c r="B3">
        <f>+B2-10</f>
        <v>190</v>
      </c>
      <c r="C3">
        <f>+C2-5</f>
        <v>95</v>
      </c>
      <c r="E3" t="s">
        <v>390</v>
      </c>
      <c r="F3" s="10">
        <v>340000</v>
      </c>
      <c r="L3" t="s">
        <v>390</v>
      </c>
      <c r="M3" s="10">
        <v>110000</v>
      </c>
      <c r="O3" t="s">
        <v>390</v>
      </c>
      <c r="P3" s="10">
        <v>150000</v>
      </c>
      <c r="R3" t="s">
        <v>390</v>
      </c>
      <c r="S3" s="10">
        <f>S2*20%</f>
        <v>180000</v>
      </c>
      <c r="U3" t="s">
        <v>390</v>
      </c>
      <c r="V3" s="10">
        <v>220000</v>
      </c>
      <c r="X3" t="s">
        <v>390</v>
      </c>
      <c r="Y3" s="10">
        <v>290000</v>
      </c>
    </row>
    <row r="4" spans="1:25" x14ac:dyDescent="0.3">
      <c r="A4">
        <f t="shared" ref="A4:C21" si="0">+A3-5</f>
        <v>90</v>
      </c>
      <c r="B4">
        <f t="shared" ref="B4:B21" si="1">+B3-10</f>
        <v>180</v>
      </c>
      <c r="C4">
        <f t="shared" si="0"/>
        <v>90</v>
      </c>
      <c r="E4" t="s">
        <v>395</v>
      </c>
      <c r="F4" s="10">
        <v>300000</v>
      </c>
      <c r="J4">
        <v>26666.666666666668</v>
      </c>
      <c r="L4" t="s">
        <v>395</v>
      </c>
      <c r="M4" s="10">
        <v>190000</v>
      </c>
      <c r="O4" t="s">
        <v>395</v>
      </c>
      <c r="P4" s="10">
        <v>220000</v>
      </c>
      <c r="R4" t="s">
        <v>395</v>
      </c>
      <c r="S4" s="10">
        <v>230000</v>
      </c>
      <c r="U4" t="s">
        <v>395</v>
      </c>
      <c r="V4" s="10">
        <v>250000</v>
      </c>
      <c r="X4" t="s">
        <v>395</v>
      </c>
      <c r="Y4" s="10">
        <v>290000</v>
      </c>
    </row>
    <row r="5" spans="1:25" x14ac:dyDescent="0.3">
      <c r="A5">
        <f t="shared" si="0"/>
        <v>85</v>
      </c>
      <c r="B5">
        <f t="shared" si="1"/>
        <v>170</v>
      </c>
      <c r="C5">
        <f t="shared" si="0"/>
        <v>85</v>
      </c>
      <c r="E5" t="s">
        <v>396</v>
      </c>
      <c r="F5" s="10">
        <v>250000</v>
      </c>
      <c r="L5" t="s">
        <v>396</v>
      </c>
      <c r="M5" s="10">
        <v>140000</v>
      </c>
      <c r="O5" t="s">
        <v>396</v>
      </c>
      <c r="P5" s="10">
        <v>150000</v>
      </c>
      <c r="R5" t="s">
        <v>396</v>
      </c>
      <c r="S5" s="10">
        <v>170000</v>
      </c>
      <c r="U5" t="s">
        <v>396</v>
      </c>
      <c r="V5" s="10">
        <v>180000</v>
      </c>
      <c r="X5" t="s">
        <v>396</v>
      </c>
      <c r="Y5" s="10">
        <v>220000</v>
      </c>
    </row>
    <row r="6" spans="1:25" x14ac:dyDescent="0.3">
      <c r="A6">
        <f t="shared" si="0"/>
        <v>80</v>
      </c>
      <c r="B6">
        <f t="shared" si="1"/>
        <v>160</v>
      </c>
      <c r="C6">
        <f t="shared" si="0"/>
        <v>80</v>
      </c>
      <c r="E6" t="s">
        <v>397</v>
      </c>
      <c r="F6" s="10">
        <v>200000</v>
      </c>
      <c r="L6" t="s">
        <v>397</v>
      </c>
      <c r="M6" s="10">
        <v>100000</v>
      </c>
      <c r="O6" t="s">
        <v>397</v>
      </c>
      <c r="P6" s="10">
        <v>110000</v>
      </c>
      <c r="R6" t="s">
        <v>397</v>
      </c>
      <c r="S6" s="10">
        <v>130000</v>
      </c>
      <c r="U6" t="s">
        <v>397</v>
      </c>
      <c r="V6" s="10">
        <v>140000</v>
      </c>
      <c r="X6" t="s">
        <v>397</v>
      </c>
      <c r="Y6" s="10">
        <v>170000</v>
      </c>
    </row>
    <row r="7" spans="1:25" x14ac:dyDescent="0.3">
      <c r="A7">
        <f t="shared" si="0"/>
        <v>75</v>
      </c>
      <c r="B7">
        <f t="shared" si="1"/>
        <v>150</v>
      </c>
      <c r="C7">
        <f t="shared" si="0"/>
        <v>75</v>
      </c>
      <c r="E7" t="s">
        <v>398</v>
      </c>
      <c r="F7" s="10">
        <v>180000</v>
      </c>
      <c r="M7" s="10"/>
      <c r="O7" t="s">
        <v>398</v>
      </c>
      <c r="P7" s="10">
        <v>90000</v>
      </c>
      <c r="R7" t="s">
        <v>398</v>
      </c>
      <c r="S7" s="10">
        <v>110000</v>
      </c>
      <c r="U7" t="s">
        <v>398</v>
      </c>
      <c r="V7" s="10">
        <v>120000</v>
      </c>
      <c r="X7" t="s">
        <v>398</v>
      </c>
      <c r="Y7" s="10">
        <v>150000</v>
      </c>
    </row>
    <row r="8" spans="1:25" x14ac:dyDescent="0.3">
      <c r="A8">
        <f t="shared" si="0"/>
        <v>70</v>
      </c>
      <c r="B8">
        <f t="shared" si="1"/>
        <v>140</v>
      </c>
      <c r="C8">
        <f t="shared" si="0"/>
        <v>70</v>
      </c>
      <c r="E8" t="s">
        <v>399</v>
      </c>
      <c r="F8" s="10">
        <v>150000</v>
      </c>
      <c r="M8" s="10">
        <f>+SUM(M3:M7)-M2</f>
        <v>0</v>
      </c>
      <c r="P8" s="10">
        <f>+SUM(P3:P7)-P2</f>
        <v>0</v>
      </c>
      <c r="R8" t="s">
        <v>399</v>
      </c>
      <c r="S8" s="10">
        <v>80000</v>
      </c>
      <c r="U8" t="s">
        <v>399</v>
      </c>
      <c r="V8" s="10">
        <v>90000</v>
      </c>
      <c r="X8" t="s">
        <v>399</v>
      </c>
      <c r="Y8" s="10">
        <v>130000</v>
      </c>
    </row>
    <row r="9" spans="1:25" x14ac:dyDescent="0.3">
      <c r="A9">
        <f t="shared" si="0"/>
        <v>65</v>
      </c>
      <c r="B9">
        <f t="shared" si="1"/>
        <v>130</v>
      </c>
      <c r="C9">
        <f t="shared" si="0"/>
        <v>65</v>
      </c>
      <c r="E9" t="s">
        <v>400</v>
      </c>
      <c r="F9" s="10">
        <v>120000</v>
      </c>
      <c r="S9" s="10">
        <f>+SUM(S3:S8)-S2</f>
        <v>0</v>
      </c>
      <c r="U9" t="s">
        <v>400</v>
      </c>
      <c r="V9" s="10">
        <v>80000</v>
      </c>
      <c r="X9" t="s">
        <v>400</v>
      </c>
      <c r="Y9" s="10">
        <v>110000</v>
      </c>
    </row>
    <row r="10" spans="1:25" x14ac:dyDescent="0.3">
      <c r="A10">
        <f t="shared" si="0"/>
        <v>60</v>
      </c>
      <c r="B10">
        <f t="shared" si="1"/>
        <v>120</v>
      </c>
      <c r="C10">
        <f t="shared" si="0"/>
        <v>60</v>
      </c>
      <c r="E10" t="s">
        <v>401</v>
      </c>
      <c r="F10" s="10">
        <v>90000</v>
      </c>
      <c r="V10" s="10">
        <f>+SUM(V3:V9)-V2</f>
        <v>0</v>
      </c>
      <c r="X10" t="s">
        <v>401</v>
      </c>
      <c r="Y10" s="10">
        <v>80000</v>
      </c>
    </row>
    <row r="11" spans="1:25" x14ac:dyDescent="0.3">
      <c r="A11">
        <f t="shared" si="0"/>
        <v>55</v>
      </c>
      <c r="B11">
        <f t="shared" si="1"/>
        <v>110</v>
      </c>
      <c r="C11">
        <f t="shared" si="0"/>
        <v>55</v>
      </c>
      <c r="E11" t="s">
        <v>402</v>
      </c>
      <c r="F11" s="10">
        <v>60000</v>
      </c>
      <c r="Y11" s="10">
        <f>+SUM(Y3:Y10)-Y2</f>
        <v>180000</v>
      </c>
    </row>
    <row r="12" spans="1:25" x14ac:dyDescent="0.3">
      <c r="A12">
        <f t="shared" si="0"/>
        <v>50</v>
      </c>
      <c r="B12">
        <f t="shared" si="1"/>
        <v>100</v>
      </c>
      <c r="C12">
        <f t="shared" si="0"/>
        <v>50</v>
      </c>
      <c r="F12" s="10">
        <f>+SUM(F3:F11)-F2</f>
        <v>10000</v>
      </c>
      <c r="I12" s="10"/>
    </row>
    <row r="13" spans="1:25" x14ac:dyDescent="0.3">
      <c r="A13">
        <f t="shared" si="0"/>
        <v>45</v>
      </c>
      <c r="B13">
        <f t="shared" si="1"/>
        <v>90</v>
      </c>
      <c r="C13">
        <f t="shared" si="0"/>
        <v>45</v>
      </c>
      <c r="F13" s="10"/>
      <c r="I13" s="10"/>
      <c r="V13" s="10"/>
    </row>
    <row r="14" spans="1:25" x14ac:dyDescent="0.3">
      <c r="A14">
        <f t="shared" si="0"/>
        <v>40</v>
      </c>
      <c r="B14">
        <f t="shared" si="1"/>
        <v>80</v>
      </c>
      <c r="C14">
        <f t="shared" si="0"/>
        <v>40</v>
      </c>
      <c r="F14" s="10"/>
      <c r="I14" s="10"/>
      <c r="V14" s="10"/>
    </row>
    <row r="15" spans="1:25" x14ac:dyDescent="0.3">
      <c r="A15">
        <f t="shared" si="0"/>
        <v>35</v>
      </c>
      <c r="B15">
        <f t="shared" si="1"/>
        <v>70</v>
      </c>
      <c r="C15">
        <f t="shared" si="0"/>
        <v>35</v>
      </c>
      <c r="F15" s="10"/>
      <c r="V15" s="10"/>
    </row>
    <row r="16" spans="1:25" x14ac:dyDescent="0.3">
      <c r="A16">
        <f t="shared" si="0"/>
        <v>30</v>
      </c>
      <c r="B16">
        <f t="shared" si="1"/>
        <v>60</v>
      </c>
      <c r="C16">
        <f t="shared" si="0"/>
        <v>30</v>
      </c>
      <c r="V16" s="10"/>
    </row>
    <row r="17" spans="1:22" x14ac:dyDescent="0.3">
      <c r="A17">
        <f t="shared" si="0"/>
        <v>25</v>
      </c>
      <c r="B17">
        <f t="shared" si="1"/>
        <v>50</v>
      </c>
      <c r="C17">
        <f t="shared" si="0"/>
        <v>25</v>
      </c>
      <c r="V17" s="10"/>
    </row>
    <row r="18" spans="1:22" x14ac:dyDescent="0.3">
      <c r="A18">
        <f t="shared" si="0"/>
        <v>20</v>
      </c>
      <c r="B18">
        <f t="shared" si="1"/>
        <v>40</v>
      </c>
      <c r="C18">
        <f t="shared" si="0"/>
        <v>20</v>
      </c>
      <c r="V18" s="10"/>
    </row>
    <row r="19" spans="1:22" x14ac:dyDescent="0.3">
      <c r="A19">
        <f t="shared" si="0"/>
        <v>15</v>
      </c>
      <c r="B19">
        <f t="shared" si="1"/>
        <v>30</v>
      </c>
      <c r="C19">
        <f t="shared" si="0"/>
        <v>15</v>
      </c>
      <c r="V19" s="10"/>
    </row>
    <row r="20" spans="1:22" x14ac:dyDescent="0.3">
      <c r="A20">
        <f t="shared" si="0"/>
        <v>10</v>
      </c>
      <c r="B20">
        <f t="shared" si="1"/>
        <v>20</v>
      </c>
      <c r="C20">
        <f t="shared" si="0"/>
        <v>10</v>
      </c>
      <c r="V20" s="10"/>
    </row>
    <row r="21" spans="1:22" x14ac:dyDescent="0.3">
      <c r="A21">
        <f t="shared" si="0"/>
        <v>5</v>
      </c>
      <c r="B21">
        <f t="shared" si="1"/>
        <v>10</v>
      </c>
      <c r="C21">
        <f t="shared" si="0"/>
        <v>5</v>
      </c>
      <c r="V21" s="10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5E802-2312-46A5-9378-F6EDA2425CB1}">
  <sheetPr codeName="Hoja7"/>
  <dimension ref="A1:AK199"/>
  <sheetViews>
    <sheetView view="pageBreakPreview" zoomScale="117" zoomScaleNormal="117" zoomScaleSheetLayoutView="117" workbookViewId="0">
      <selection activeCell="AI14" sqref="AI14"/>
    </sheetView>
  </sheetViews>
  <sheetFormatPr baseColWidth="10" defaultColWidth="11.44140625" defaultRowHeight="14.4" x14ac:dyDescent="0.3"/>
  <cols>
    <col min="1" max="1" width="11.109375" bestFit="1" customWidth="1"/>
    <col min="2" max="2" width="20.6640625" bestFit="1" customWidth="1"/>
    <col min="3" max="3" width="17.109375" bestFit="1" customWidth="1"/>
    <col min="4" max="4" width="14.77734375" bestFit="1" customWidth="1"/>
    <col min="5" max="5" width="1.77734375" customWidth="1"/>
    <col min="6" max="6" width="11.109375" customWidth="1"/>
    <col min="7" max="7" width="17.44140625" bestFit="1" customWidth="1"/>
    <col min="8" max="8" width="17.109375" bestFit="1" customWidth="1"/>
    <col min="9" max="9" width="10.33203125" bestFit="1" customWidth="1"/>
    <col min="10" max="10" width="7.33203125" bestFit="1" customWidth="1"/>
    <col min="11" max="11" width="14" bestFit="1" customWidth="1"/>
    <col min="12" max="12" width="1.77734375" customWidth="1"/>
    <col min="13" max="13" width="13.33203125" bestFit="1" customWidth="1"/>
    <col min="14" max="14" width="19.109375" bestFit="1" customWidth="1"/>
    <col min="15" max="15" width="17.109375" bestFit="1" customWidth="1"/>
    <col min="16" max="16" width="9.5546875" bestFit="1" customWidth="1"/>
    <col min="17" max="17" width="13.88671875" style="26" bestFit="1" customWidth="1"/>
    <col min="18" max="18" width="15" style="26" bestFit="1" customWidth="1"/>
    <col min="19" max="19" width="1.77734375" customWidth="1"/>
    <col min="20" max="20" width="11.109375" bestFit="1" customWidth="1"/>
    <col min="21" max="21" width="20.6640625" bestFit="1" customWidth="1"/>
    <col min="22" max="22" width="17.109375" bestFit="1" customWidth="1"/>
    <col min="23" max="23" width="14.6640625" bestFit="1" customWidth="1"/>
    <col min="24" max="24" width="4.88671875" bestFit="1" customWidth="1"/>
    <col min="25" max="25" width="1.77734375" customWidth="1"/>
    <col min="26" max="26" width="11.109375" bestFit="1" customWidth="1"/>
    <col min="27" max="27" width="20.6640625" bestFit="1" customWidth="1"/>
    <col min="28" max="28" width="17.109375" bestFit="1" customWidth="1"/>
    <col min="29" max="29" width="17.21875" bestFit="1" customWidth="1"/>
    <col min="30" max="30" width="14.6640625" bestFit="1" customWidth="1"/>
    <col min="31" max="31" width="1.77734375" customWidth="1"/>
    <col min="32" max="32" width="6.44140625" bestFit="1" customWidth="1"/>
    <col min="33" max="33" width="13.33203125" bestFit="1" customWidth="1"/>
    <col min="34" max="34" width="12.6640625" bestFit="1" customWidth="1"/>
    <col min="35" max="35" width="4.44140625" bestFit="1" customWidth="1"/>
    <col min="36" max="36" width="4.77734375" bestFit="1" customWidth="1"/>
    <col min="37" max="37" width="11.109375" bestFit="1" customWidth="1"/>
  </cols>
  <sheetData>
    <row r="1" spans="1:37" x14ac:dyDescent="0.3">
      <c r="A1" s="16" t="s">
        <v>387</v>
      </c>
      <c r="B1" t="s">
        <v>403</v>
      </c>
      <c r="F1" s="16" t="s">
        <v>380</v>
      </c>
      <c r="G1" s="65">
        <v>46228</v>
      </c>
      <c r="K1" t="s">
        <v>404</v>
      </c>
      <c r="M1" s="16" t="s">
        <v>380</v>
      </c>
      <c r="N1" t="s">
        <v>405</v>
      </c>
      <c r="S1" t="s">
        <v>404</v>
      </c>
      <c r="T1" s="16" t="s">
        <v>380</v>
      </c>
      <c r="U1" t="s">
        <v>403</v>
      </c>
      <c r="Z1" s="16" t="s">
        <v>380</v>
      </c>
      <c r="AA1" t="s">
        <v>403</v>
      </c>
    </row>
    <row r="2" spans="1:37" x14ac:dyDescent="0.3">
      <c r="A2" s="148" t="s">
        <v>406</v>
      </c>
      <c r="B2" s="148"/>
      <c r="C2" s="148"/>
      <c r="D2" s="148"/>
      <c r="F2" s="148" t="s">
        <v>407</v>
      </c>
      <c r="G2" s="148"/>
      <c r="H2" s="148"/>
      <c r="I2" s="148"/>
      <c r="J2" s="148"/>
      <c r="K2" s="148"/>
      <c r="M2" s="16" t="s">
        <v>384</v>
      </c>
      <c r="N2" t="s">
        <v>403</v>
      </c>
      <c r="T2" s="148" t="s">
        <v>408</v>
      </c>
      <c r="U2" s="148"/>
      <c r="V2" s="148"/>
      <c r="W2" s="148"/>
      <c r="X2" s="44"/>
      <c r="Z2" s="148" t="s">
        <v>478</v>
      </c>
      <c r="AA2" s="148"/>
      <c r="AB2" s="148"/>
      <c r="AC2" s="148"/>
      <c r="AD2" s="148"/>
      <c r="AF2" s="149" t="s">
        <v>457</v>
      </c>
      <c r="AG2" s="149"/>
      <c r="AH2" s="149"/>
      <c r="AI2" s="149"/>
      <c r="AJ2" s="149"/>
      <c r="AK2" s="149"/>
    </row>
    <row r="3" spans="1:37" x14ac:dyDescent="0.3">
      <c r="A3" s="16" t="s">
        <v>2</v>
      </c>
      <c r="B3" s="16" t="s">
        <v>3</v>
      </c>
      <c r="C3" s="16" t="s">
        <v>4</v>
      </c>
      <c r="D3" t="s">
        <v>409</v>
      </c>
      <c r="F3" s="16" t="s">
        <v>2</v>
      </c>
      <c r="G3" s="16" t="s">
        <v>3</v>
      </c>
      <c r="H3" s="16" t="s">
        <v>4</v>
      </c>
      <c r="I3" s="16" t="s">
        <v>382</v>
      </c>
      <c r="J3" s="16" t="s">
        <v>383</v>
      </c>
      <c r="K3" t="s">
        <v>475</v>
      </c>
      <c r="M3" s="148" t="s">
        <v>411</v>
      </c>
      <c r="N3" s="148"/>
      <c r="O3" s="148"/>
      <c r="P3" s="148"/>
      <c r="Q3" s="148"/>
      <c r="R3" s="148"/>
      <c r="T3" s="16" t="s">
        <v>2</v>
      </c>
      <c r="U3" s="16" t="s">
        <v>3</v>
      </c>
      <c r="V3" s="16" t="s">
        <v>4</v>
      </c>
      <c r="W3" t="s">
        <v>410</v>
      </c>
      <c r="X3" t="s">
        <v>472</v>
      </c>
      <c r="Z3" s="16" t="s">
        <v>2</v>
      </c>
      <c r="AA3" s="16" t="s">
        <v>3</v>
      </c>
      <c r="AB3" s="16" t="s">
        <v>4</v>
      </c>
      <c r="AC3" t="s">
        <v>479</v>
      </c>
      <c r="AD3" t="s">
        <v>410</v>
      </c>
      <c r="AF3" s="68" t="s">
        <v>2</v>
      </c>
      <c r="AG3" s="68" t="s">
        <v>3</v>
      </c>
      <c r="AH3" s="68" t="s">
        <v>4</v>
      </c>
      <c r="AI3" s="35" t="s">
        <v>454</v>
      </c>
      <c r="AJ3" s="35" t="s">
        <v>456</v>
      </c>
      <c r="AK3" s="35" t="s">
        <v>455</v>
      </c>
    </row>
    <row r="4" spans="1:37" x14ac:dyDescent="0.3">
      <c r="A4">
        <v>15107</v>
      </c>
      <c r="B4" t="s">
        <v>153</v>
      </c>
      <c r="C4" t="s">
        <v>154</v>
      </c>
      <c r="D4" s="18">
        <v>850000</v>
      </c>
      <c r="F4">
        <v>12724</v>
      </c>
      <c r="G4" t="s">
        <v>460</v>
      </c>
      <c r="H4" t="s">
        <v>246</v>
      </c>
      <c r="I4">
        <v>74</v>
      </c>
      <c r="J4">
        <v>64</v>
      </c>
      <c r="K4" s="42">
        <v>200</v>
      </c>
      <c r="L4" s="42"/>
      <c r="M4" s="16" t="s">
        <v>2</v>
      </c>
      <c r="N4" s="16" t="s">
        <v>3</v>
      </c>
      <c r="O4" s="16" t="s">
        <v>4</v>
      </c>
      <c r="P4" t="s">
        <v>412</v>
      </c>
      <c r="Q4" s="27" t="s">
        <v>385</v>
      </c>
      <c r="R4" s="28" t="s">
        <v>413</v>
      </c>
      <c r="T4">
        <v>30087</v>
      </c>
      <c r="U4" t="s">
        <v>149</v>
      </c>
      <c r="V4" t="s">
        <v>150</v>
      </c>
      <c r="W4" s="42">
        <v>1545</v>
      </c>
      <c r="X4" s="42">
        <v>17</v>
      </c>
      <c r="Z4">
        <v>27435</v>
      </c>
      <c r="AA4" t="s">
        <v>151</v>
      </c>
      <c r="AB4" t="s">
        <v>152</v>
      </c>
      <c r="AC4" s="42">
        <v>2</v>
      </c>
      <c r="AD4" s="42">
        <v>360</v>
      </c>
      <c r="AF4" s="69">
        <v>24140</v>
      </c>
      <c r="AG4" s="70" t="s">
        <v>363</v>
      </c>
      <c r="AH4" s="71" t="s">
        <v>119</v>
      </c>
      <c r="AI4">
        <v>285</v>
      </c>
      <c r="AJ4">
        <v>4</v>
      </c>
      <c r="AK4" t="s">
        <v>388</v>
      </c>
    </row>
    <row r="5" spans="1:37" x14ac:dyDescent="0.3">
      <c r="A5">
        <v>16260</v>
      </c>
      <c r="B5" t="s">
        <v>270</v>
      </c>
      <c r="C5" t="s">
        <v>271</v>
      </c>
      <c r="D5" s="18">
        <v>2050000</v>
      </c>
      <c r="F5">
        <v>27435</v>
      </c>
      <c r="G5" t="s">
        <v>151</v>
      </c>
      <c r="H5" t="s">
        <v>152</v>
      </c>
      <c r="I5">
        <v>79</v>
      </c>
      <c r="J5">
        <v>67</v>
      </c>
      <c r="K5" s="42">
        <v>190</v>
      </c>
      <c r="L5" s="42"/>
      <c r="M5">
        <v>14084</v>
      </c>
      <c r="N5" t="s">
        <v>39</v>
      </c>
      <c r="O5" t="s">
        <v>40</v>
      </c>
      <c r="P5" s="42">
        <v>11</v>
      </c>
      <c r="Q5" s="26">
        <f>+P5/4</f>
        <v>2.75</v>
      </c>
      <c r="R5" s="26">
        <v>2</v>
      </c>
      <c r="T5">
        <v>21865</v>
      </c>
      <c r="U5" t="s">
        <v>107</v>
      </c>
      <c r="V5" t="s">
        <v>108</v>
      </c>
      <c r="W5" s="42">
        <v>1520</v>
      </c>
      <c r="X5" s="42">
        <v>19</v>
      </c>
      <c r="Z5">
        <v>31818</v>
      </c>
      <c r="AA5" t="s">
        <v>235</v>
      </c>
      <c r="AB5" t="s">
        <v>236</v>
      </c>
      <c r="AC5" s="42">
        <v>2</v>
      </c>
      <c r="AD5" s="42">
        <v>350</v>
      </c>
      <c r="AF5" s="69">
        <v>15107</v>
      </c>
      <c r="AG5" s="70" t="s">
        <v>153</v>
      </c>
      <c r="AH5" s="71" t="s">
        <v>154</v>
      </c>
      <c r="AI5">
        <v>265</v>
      </c>
      <c r="AJ5">
        <v>4</v>
      </c>
      <c r="AK5" t="s">
        <v>389</v>
      </c>
    </row>
    <row r="6" spans="1:37" x14ac:dyDescent="0.3">
      <c r="A6">
        <v>18908</v>
      </c>
      <c r="B6" t="s">
        <v>190</v>
      </c>
      <c r="C6" t="s">
        <v>88</v>
      </c>
      <c r="D6" s="18">
        <v>280000</v>
      </c>
      <c r="F6">
        <v>21865</v>
      </c>
      <c r="G6" t="s">
        <v>107</v>
      </c>
      <c r="H6" t="s">
        <v>108</v>
      </c>
      <c r="I6">
        <v>84</v>
      </c>
      <c r="J6">
        <v>68</v>
      </c>
      <c r="K6" s="42">
        <v>180</v>
      </c>
      <c r="L6" s="42"/>
      <c r="M6">
        <v>15107</v>
      </c>
      <c r="N6" t="s">
        <v>153</v>
      </c>
      <c r="O6" t="s">
        <v>154</v>
      </c>
      <c r="P6" s="42">
        <v>9</v>
      </c>
      <c r="Q6" s="26">
        <f t="shared" ref="Q6:Q25" si="0">+P6/4</f>
        <v>2.25</v>
      </c>
      <c r="T6">
        <v>30572</v>
      </c>
      <c r="U6" t="s">
        <v>225</v>
      </c>
      <c r="V6" t="s">
        <v>226</v>
      </c>
      <c r="W6" s="42">
        <v>1500</v>
      </c>
      <c r="X6" s="42">
        <v>16</v>
      </c>
      <c r="Z6">
        <v>30572</v>
      </c>
      <c r="AA6" t="s">
        <v>225</v>
      </c>
      <c r="AB6" t="s">
        <v>226</v>
      </c>
      <c r="AC6" s="42">
        <v>2</v>
      </c>
      <c r="AD6" s="42">
        <v>350</v>
      </c>
      <c r="AF6" s="31">
        <v>21865</v>
      </c>
      <c r="AG6" s="32" t="s">
        <v>107</v>
      </c>
      <c r="AH6" t="s">
        <v>108</v>
      </c>
      <c r="AI6" s="42">
        <v>315</v>
      </c>
      <c r="AJ6">
        <v>4</v>
      </c>
      <c r="AK6" t="s">
        <v>480</v>
      </c>
    </row>
    <row r="7" spans="1:37" x14ac:dyDescent="0.3">
      <c r="A7">
        <v>28225</v>
      </c>
      <c r="B7" t="s">
        <v>222</v>
      </c>
      <c r="C7" t="s">
        <v>233</v>
      </c>
      <c r="D7" s="18">
        <v>420000</v>
      </c>
      <c r="F7">
        <v>31818</v>
      </c>
      <c r="G7" t="s">
        <v>235</v>
      </c>
      <c r="H7" t="s">
        <v>236</v>
      </c>
      <c r="I7">
        <v>89</v>
      </c>
      <c r="J7">
        <v>70</v>
      </c>
      <c r="K7" s="42">
        <v>170</v>
      </c>
      <c r="L7" s="42"/>
      <c r="M7">
        <v>28433</v>
      </c>
      <c r="N7" t="s">
        <v>353</v>
      </c>
      <c r="O7" t="s">
        <v>354</v>
      </c>
      <c r="P7" s="42">
        <v>7</v>
      </c>
      <c r="Q7" s="26">
        <f t="shared" si="0"/>
        <v>1.75</v>
      </c>
      <c r="T7">
        <v>28433</v>
      </c>
      <c r="U7" t="s">
        <v>353</v>
      </c>
      <c r="V7" t="s">
        <v>354</v>
      </c>
      <c r="W7" s="42">
        <v>1485</v>
      </c>
      <c r="X7" s="42">
        <v>17</v>
      </c>
      <c r="Z7">
        <v>24283</v>
      </c>
      <c r="AA7" t="s">
        <v>287</v>
      </c>
      <c r="AB7" t="s">
        <v>288</v>
      </c>
      <c r="AC7" s="42">
        <v>2</v>
      </c>
      <c r="AD7" s="42">
        <v>320</v>
      </c>
      <c r="AF7" s="31">
        <v>28225</v>
      </c>
      <c r="AG7" s="32" t="s">
        <v>222</v>
      </c>
      <c r="AH7" t="s">
        <v>233</v>
      </c>
      <c r="AI7" s="42">
        <v>315</v>
      </c>
      <c r="AJ7">
        <v>4</v>
      </c>
      <c r="AK7" t="s">
        <v>527</v>
      </c>
    </row>
    <row r="8" spans="1:37" x14ac:dyDescent="0.3">
      <c r="A8" t="s">
        <v>414</v>
      </c>
      <c r="D8" s="18">
        <v>3600000</v>
      </c>
      <c r="F8">
        <v>4080</v>
      </c>
      <c r="G8" t="s">
        <v>191</v>
      </c>
      <c r="H8" t="s">
        <v>106</v>
      </c>
      <c r="I8">
        <v>85</v>
      </c>
      <c r="J8">
        <v>70</v>
      </c>
      <c r="K8" s="42">
        <v>170</v>
      </c>
      <c r="L8" s="42"/>
      <c r="M8">
        <v>30087</v>
      </c>
      <c r="N8" t="s">
        <v>149</v>
      </c>
      <c r="O8" t="s">
        <v>150</v>
      </c>
      <c r="P8" s="42">
        <v>7</v>
      </c>
      <c r="Q8" s="26">
        <f t="shared" si="0"/>
        <v>1.75</v>
      </c>
      <c r="R8" s="26">
        <v>1</v>
      </c>
      <c r="T8">
        <v>18908</v>
      </c>
      <c r="U8" t="s">
        <v>190</v>
      </c>
      <c r="V8" t="s">
        <v>88</v>
      </c>
      <c r="W8" s="42">
        <v>1470</v>
      </c>
      <c r="X8" s="42">
        <v>16</v>
      </c>
      <c r="Z8">
        <v>21865</v>
      </c>
      <c r="AA8" t="s">
        <v>107</v>
      </c>
      <c r="AB8" t="s">
        <v>108</v>
      </c>
      <c r="AC8" s="42">
        <v>2</v>
      </c>
      <c r="AD8" s="42">
        <v>310</v>
      </c>
      <c r="AF8" s="31">
        <v>27435</v>
      </c>
      <c r="AG8" s="32" t="s">
        <v>151</v>
      </c>
      <c r="AH8" t="s">
        <v>152</v>
      </c>
      <c r="AI8" s="42">
        <v>360</v>
      </c>
      <c r="AJ8">
        <v>2</v>
      </c>
      <c r="AK8" t="s">
        <v>547</v>
      </c>
    </row>
    <row r="9" spans="1:37" x14ac:dyDescent="0.3">
      <c r="F9">
        <v>9446</v>
      </c>
      <c r="G9" t="s">
        <v>285</v>
      </c>
      <c r="H9" t="s">
        <v>286</v>
      </c>
      <c r="I9">
        <v>84</v>
      </c>
      <c r="J9">
        <v>72</v>
      </c>
      <c r="K9" s="42">
        <v>160</v>
      </c>
      <c r="L9" s="42"/>
      <c r="M9">
        <v>21865</v>
      </c>
      <c r="N9" t="s">
        <v>107</v>
      </c>
      <c r="O9" t="s">
        <v>108</v>
      </c>
      <c r="P9" s="42">
        <v>6</v>
      </c>
      <c r="Q9" s="26">
        <f t="shared" si="0"/>
        <v>1.5</v>
      </c>
      <c r="R9" s="26">
        <v>1</v>
      </c>
      <c r="T9">
        <v>15107</v>
      </c>
      <c r="U9" t="s">
        <v>153</v>
      </c>
      <c r="V9" t="s">
        <v>154</v>
      </c>
      <c r="W9" s="42">
        <v>1415</v>
      </c>
      <c r="X9" s="42">
        <v>19</v>
      </c>
      <c r="Z9">
        <v>4080</v>
      </c>
      <c r="AA9" t="s">
        <v>191</v>
      </c>
      <c r="AB9" t="s">
        <v>106</v>
      </c>
      <c r="AC9" s="42">
        <v>2</v>
      </c>
      <c r="AD9" s="42">
        <v>280</v>
      </c>
    </row>
    <row r="10" spans="1:37" x14ac:dyDescent="0.3">
      <c r="F10">
        <v>13625</v>
      </c>
      <c r="G10" t="s">
        <v>222</v>
      </c>
      <c r="H10" t="s">
        <v>223</v>
      </c>
      <c r="I10">
        <v>82</v>
      </c>
      <c r="J10">
        <v>72</v>
      </c>
      <c r="K10" s="42">
        <v>160</v>
      </c>
      <c r="L10" s="42"/>
      <c r="M10">
        <v>8473</v>
      </c>
      <c r="N10" t="s">
        <v>58</v>
      </c>
      <c r="O10" t="s">
        <v>59</v>
      </c>
      <c r="P10" s="42">
        <v>5</v>
      </c>
      <c r="Q10" s="26">
        <f t="shared" si="0"/>
        <v>1.25</v>
      </c>
      <c r="T10">
        <v>16552</v>
      </c>
      <c r="U10" t="s">
        <v>272</v>
      </c>
      <c r="V10" t="s">
        <v>273</v>
      </c>
      <c r="W10" s="42">
        <v>1345</v>
      </c>
      <c r="X10" s="42">
        <v>17</v>
      </c>
      <c r="Z10">
        <v>9446</v>
      </c>
      <c r="AA10" t="s">
        <v>285</v>
      </c>
      <c r="AB10" t="s">
        <v>286</v>
      </c>
      <c r="AC10" s="42">
        <v>2</v>
      </c>
      <c r="AD10" s="42">
        <v>280</v>
      </c>
    </row>
    <row r="11" spans="1:37" x14ac:dyDescent="0.3">
      <c r="A11" s="16" t="s">
        <v>385</v>
      </c>
      <c r="B11" t="s">
        <v>403</v>
      </c>
      <c r="F11">
        <v>18411</v>
      </c>
      <c r="G11" t="s">
        <v>28</v>
      </c>
      <c r="H11" t="s">
        <v>29</v>
      </c>
      <c r="I11">
        <v>97</v>
      </c>
      <c r="J11">
        <v>72</v>
      </c>
      <c r="K11" s="42">
        <v>160</v>
      </c>
      <c r="L11" s="42"/>
      <c r="M11">
        <v>16260</v>
      </c>
      <c r="N11" t="s">
        <v>270</v>
      </c>
      <c r="O11" t="s">
        <v>271</v>
      </c>
      <c r="P11" s="42">
        <v>5</v>
      </c>
      <c r="Q11" s="26">
        <f t="shared" si="0"/>
        <v>1.25</v>
      </c>
      <c r="T11">
        <v>12724</v>
      </c>
      <c r="U11" t="s">
        <v>460</v>
      </c>
      <c r="V11" t="s">
        <v>246</v>
      </c>
      <c r="W11" s="42">
        <v>1340</v>
      </c>
      <c r="X11" s="42">
        <v>17</v>
      </c>
      <c r="Z11">
        <v>18908</v>
      </c>
      <c r="AA11" t="s">
        <v>190</v>
      </c>
      <c r="AB11" t="s">
        <v>88</v>
      </c>
      <c r="AC11" s="42">
        <v>2</v>
      </c>
      <c r="AD11" s="42">
        <v>270</v>
      </c>
    </row>
    <row r="12" spans="1:37" x14ac:dyDescent="0.3">
      <c r="A12" s="148" t="s">
        <v>415</v>
      </c>
      <c r="B12" s="148"/>
      <c r="C12" s="148"/>
      <c r="D12" s="148"/>
      <c r="F12">
        <v>30572</v>
      </c>
      <c r="G12" t="s">
        <v>225</v>
      </c>
      <c r="H12" t="s">
        <v>226</v>
      </c>
      <c r="I12">
        <v>91</v>
      </c>
      <c r="J12">
        <v>72</v>
      </c>
      <c r="K12" s="42">
        <v>160</v>
      </c>
      <c r="L12" s="42"/>
      <c r="M12">
        <v>18411</v>
      </c>
      <c r="N12" t="s">
        <v>28</v>
      </c>
      <c r="O12" t="s">
        <v>29</v>
      </c>
      <c r="P12" s="42">
        <v>4</v>
      </c>
      <c r="Q12" s="26">
        <f t="shared" si="0"/>
        <v>1</v>
      </c>
      <c r="T12">
        <v>28225</v>
      </c>
      <c r="U12" t="s">
        <v>222</v>
      </c>
      <c r="V12" t="s">
        <v>233</v>
      </c>
      <c r="W12" s="42">
        <v>1250</v>
      </c>
      <c r="X12" s="42">
        <v>14</v>
      </c>
      <c r="Z12">
        <v>28433</v>
      </c>
      <c r="AA12" t="s">
        <v>353</v>
      </c>
      <c r="AB12" t="s">
        <v>354</v>
      </c>
      <c r="AC12" s="42">
        <v>2</v>
      </c>
      <c r="AD12" s="42">
        <v>270</v>
      </c>
    </row>
    <row r="13" spans="1:37" x14ac:dyDescent="0.3">
      <c r="A13" s="16" t="s">
        <v>2</v>
      </c>
      <c r="B13" s="16" t="s">
        <v>3</v>
      </c>
      <c r="C13" s="16" t="s">
        <v>4</v>
      </c>
      <c r="D13" t="s">
        <v>416</v>
      </c>
      <c r="F13">
        <v>18908</v>
      </c>
      <c r="G13" t="s">
        <v>190</v>
      </c>
      <c r="H13" t="s">
        <v>88</v>
      </c>
      <c r="I13">
        <v>84</v>
      </c>
      <c r="J13">
        <v>74</v>
      </c>
      <c r="K13" s="42">
        <v>150</v>
      </c>
      <c r="L13" s="42"/>
      <c r="M13">
        <v>28225</v>
      </c>
      <c r="N13" t="s">
        <v>222</v>
      </c>
      <c r="O13" t="s">
        <v>233</v>
      </c>
      <c r="P13" s="42">
        <v>4</v>
      </c>
      <c r="Q13" s="26">
        <f t="shared" si="0"/>
        <v>1</v>
      </c>
      <c r="T13">
        <v>4080</v>
      </c>
      <c r="U13" t="s">
        <v>191</v>
      </c>
      <c r="V13" t="s">
        <v>106</v>
      </c>
      <c r="W13" s="42">
        <v>1250</v>
      </c>
      <c r="X13" s="42">
        <v>16</v>
      </c>
      <c r="Z13">
        <v>18411</v>
      </c>
      <c r="AA13" t="s">
        <v>28</v>
      </c>
      <c r="AB13" t="s">
        <v>29</v>
      </c>
      <c r="AC13" s="42">
        <v>2</v>
      </c>
      <c r="AD13" s="42">
        <v>260</v>
      </c>
    </row>
    <row r="14" spans="1:37" x14ac:dyDescent="0.3">
      <c r="A14">
        <v>18908</v>
      </c>
      <c r="B14" t="s">
        <v>190</v>
      </c>
      <c r="C14" t="s">
        <v>88</v>
      </c>
      <c r="D14" s="18">
        <v>1337000</v>
      </c>
      <c r="F14">
        <v>16552</v>
      </c>
      <c r="G14" t="s">
        <v>272</v>
      </c>
      <c r="H14" t="s">
        <v>273</v>
      </c>
      <c r="I14">
        <v>87</v>
      </c>
      <c r="J14">
        <v>75</v>
      </c>
      <c r="K14" s="42">
        <v>140</v>
      </c>
      <c r="L14" s="42"/>
      <c r="M14">
        <v>4080</v>
      </c>
      <c r="N14" t="s">
        <v>191</v>
      </c>
      <c r="O14" t="s">
        <v>106</v>
      </c>
      <c r="P14" s="42">
        <v>3</v>
      </c>
      <c r="Q14" s="26">
        <f t="shared" si="0"/>
        <v>0.75</v>
      </c>
      <c r="T14">
        <v>7891</v>
      </c>
      <c r="U14" t="s">
        <v>220</v>
      </c>
      <c r="V14" t="s">
        <v>221</v>
      </c>
      <c r="W14" s="42">
        <v>1220</v>
      </c>
      <c r="X14" s="42">
        <v>14</v>
      </c>
      <c r="Z14">
        <v>30087</v>
      </c>
      <c r="AA14" t="s">
        <v>149</v>
      </c>
      <c r="AB14" t="s">
        <v>150</v>
      </c>
      <c r="AC14" s="42">
        <v>2</v>
      </c>
      <c r="AD14" s="42">
        <v>230</v>
      </c>
    </row>
    <row r="15" spans="1:37" x14ac:dyDescent="0.3">
      <c r="A15">
        <v>30087</v>
      </c>
      <c r="B15" t="s">
        <v>149</v>
      </c>
      <c r="C15" t="s">
        <v>150</v>
      </c>
      <c r="D15" s="18">
        <v>1070000</v>
      </c>
      <c r="F15">
        <v>30087</v>
      </c>
      <c r="G15" t="s">
        <v>149</v>
      </c>
      <c r="H15" t="s">
        <v>150</v>
      </c>
      <c r="I15">
        <v>87</v>
      </c>
      <c r="J15">
        <v>76</v>
      </c>
      <c r="K15" s="42">
        <v>130</v>
      </c>
      <c r="L15" s="42"/>
      <c r="M15">
        <v>26953</v>
      </c>
      <c r="N15" t="s">
        <v>120</v>
      </c>
      <c r="O15" t="s">
        <v>121</v>
      </c>
      <c r="P15" s="42">
        <v>2</v>
      </c>
      <c r="Q15" s="26">
        <f t="shared" si="0"/>
        <v>0.5</v>
      </c>
      <c r="T15">
        <v>24283</v>
      </c>
      <c r="U15" t="s">
        <v>287</v>
      </c>
      <c r="V15" t="s">
        <v>288</v>
      </c>
      <c r="W15" s="42">
        <v>1180</v>
      </c>
      <c r="X15" s="42">
        <v>15</v>
      </c>
      <c r="Z15">
        <v>12724</v>
      </c>
      <c r="AA15" t="s">
        <v>460</v>
      </c>
      <c r="AB15" t="s">
        <v>246</v>
      </c>
      <c r="AC15" s="42">
        <v>1</v>
      </c>
      <c r="AD15" s="42">
        <v>200</v>
      </c>
    </row>
    <row r="16" spans="1:37" x14ac:dyDescent="0.3">
      <c r="A16">
        <v>15107</v>
      </c>
      <c r="B16" t="s">
        <v>153</v>
      </c>
      <c r="C16" t="s">
        <v>154</v>
      </c>
      <c r="D16" s="18">
        <v>1032000</v>
      </c>
      <c r="F16">
        <v>24140</v>
      </c>
      <c r="G16" t="s">
        <v>363</v>
      </c>
      <c r="H16" t="s">
        <v>119</v>
      </c>
      <c r="I16">
        <v>102</v>
      </c>
      <c r="J16">
        <v>77</v>
      </c>
      <c r="K16" s="42">
        <v>120</v>
      </c>
      <c r="L16" s="42"/>
      <c r="M16">
        <v>19187</v>
      </c>
      <c r="N16" t="s">
        <v>328</v>
      </c>
      <c r="O16" t="s">
        <v>200</v>
      </c>
      <c r="P16" s="42">
        <v>2</v>
      </c>
      <c r="Q16" s="26">
        <f t="shared" si="0"/>
        <v>0.5</v>
      </c>
      <c r="T16">
        <v>24140</v>
      </c>
      <c r="U16" t="s">
        <v>363</v>
      </c>
      <c r="V16" t="s">
        <v>119</v>
      </c>
      <c r="W16" s="42">
        <v>1105</v>
      </c>
      <c r="X16" s="42">
        <v>15</v>
      </c>
      <c r="Z16">
        <v>24140</v>
      </c>
      <c r="AA16" t="s">
        <v>363</v>
      </c>
      <c r="AB16" t="s">
        <v>119</v>
      </c>
      <c r="AC16" s="42">
        <v>2</v>
      </c>
      <c r="AD16" s="42">
        <v>190</v>
      </c>
    </row>
    <row r="17" spans="1:30" x14ac:dyDescent="0.3">
      <c r="A17">
        <v>13625</v>
      </c>
      <c r="B17" t="s">
        <v>222</v>
      </c>
      <c r="C17" t="s">
        <v>223</v>
      </c>
      <c r="D17" s="18">
        <v>857000</v>
      </c>
      <c r="F17">
        <v>24283</v>
      </c>
      <c r="G17" t="s">
        <v>287</v>
      </c>
      <c r="H17" t="s">
        <v>288</v>
      </c>
      <c r="I17">
        <v>105</v>
      </c>
      <c r="J17">
        <v>77</v>
      </c>
      <c r="K17" s="42">
        <v>120</v>
      </c>
      <c r="L17" s="42"/>
      <c r="M17">
        <v>18908</v>
      </c>
      <c r="N17" t="s">
        <v>190</v>
      </c>
      <c r="O17" t="s">
        <v>88</v>
      </c>
      <c r="P17" s="42">
        <v>2</v>
      </c>
      <c r="Q17" s="26">
        <f t="shared" si="0"/>
        <v>0.5</v>
      </c>
      <c r="T17">
        <v>9446</v>
      </c>
      <c r="U17" t="s">
        <v>285</v>
      </c>
      <c r="V17" t="s">
        <v>286</v>
      </c>
      <c r="W17" s="42">
        <v>1095</v>
      </c>
      <c r="X17" s="42">
        <v>13</v>
      </c>
      <c r="Z17">
        <v>13625</v>
      </c>
      <c r="AA17" t="s">
        <v>222</v>
      </c>
      <c r="AB17" t="s">
        <v>223</v>
      </c>
      <c r="AC17" s="42">
        <v>1</v>
      </c>
      <c r="AD17" s="42">
        <v>160</v>
      </c>
    </row>
    <row r="18" spans="1:30" x14ac:dyDescent="0.3">
      <c r="A18">
        <v>16260</v>
      </c>
      <c r="B18" t="s">
        <v>270</v>
      </c>
      <c r="C18" t="s">
        <v>271</v>
      </c>
      <c r="D18" s="18">
        <v>800000</v>
      </c>
      <c r="F18">
        <v>28433</v>
      </c>
      <c r="G18" t="s">
        <v>353</v>
      </c>
      <c r="H18" t="s">
        <v>354</v>
      </c>
      <c r="I18">
        <v>101</v>
      </c>
      <c r="J18">
        <v>78</v>
      </c>
      <c r="K18" s="42">
        <v>110</v>
      </c>
      <c r="L18" s="42"/>
      <c r="M18">
        <v>9446</v>
      </c>
      <c r="N18" t="s">
        <v>285</v>
      </c>
      <c r="O18" t="s">
        <v>286</v>
      </c>
      <c r="P18" s="42">
        <v>2</v>
      </c>
      <c r="Q18" s="26">
        <f t="shared" si="0"/>
        <v>0.5</v>
      </c>
      <c r="T18">
        <v>17043</v>
      </c>
      <c r="U18" t="s">
        <v>118</v>
      </c>
      <c r="V18" t="s">
        <v>119</v>
      </c>
      <c r="W18" s="42">
        <v>980</v>
      </c>
      <c r="X18" s="42">
        <v>15</v>
      </c>
      <c r="Z18">
        <v>22156</v>
      </c>
      <c r="AA18" t="s">
        <v>231</v>
      </c>
      <c r="AB18" t="s">
        <v>232</v>
      </c>
      <c r="AC18" s="42">
        <v>1</v>
      </c>
      <c r="AD18" s="42">
        <v>150</v>
      </c>
    </row>
    <row r="19" spans="1:30" x14ac:dyDescent="0.3">
      <c r="A19">
        <v>32142</v>
      </c>
      <c r="B19" t="s">
        <v>47</v>
      </c>
      <c r="C19" t="s">
        <v>48</v>
      </c>
      <c r="D19" s="18">
        <v>715000</v>
      </c>
      <c r="F19">
        <v>28225</v>
      </c>
      <c r="G19" t="s">
        <v>222</v>
      </c>
      <c r="H19" t="s">
        <v>233</v>
      </c>
      <c r="I19">
        <v>95</v>
      </c>
      <c r="J19">
        <v>81</v>
      </c>
      <c r="K19" s="42">
        <v>100</v>
      </c>
      <c r="L19" s="42"/>
      <c r="M19">
        <v>24283</v>
      </c>
      <c r="N19" t="s">
        <v>287</v>
      </c>
      <c r="O19" t="s">
        <v>288</v>
      </c>
      <c r="P19" s="42">
        <v>2</v>
      </c>
      <c r="Q19" s="26">
        <f t="shared" si="0"/>
        <v>0.5</v>
      </c>
      <c r="T19">
        <v>8473</v>
      </c>
      <c r="U19" t="s">
        <v>58</v>
      </c>
      <c r="V19" t="s">
        <v>59</v>
      </c>
      <c r="W19" s="42">
        <v>975</v>
      </c>
      <c r="X19" s="42">
        <v>15</v>
      </c>
      <c r="Z19">
        <v>7891</v>
      </c>
      <c r="AA19" t="s">
        <v>220</v>
      </c>
      <c r="AB19" t="s">
        <v>221</v>
      </c>
      <c r="AC19" s="42">
        <v>1</v>
      </c>
      <c r="AD19" s="42">
        <v>140</v>
      </c>
    </row>
    <row r="20" spans="1:30" x14ac:dyDescent="0.3">
      <c r="A20">
        <v>31818</v>
      </c>
      <c r="B20" t="s">
        <v>235</v>
      </c>
      <c r="C20" t="s">
        <v>236</v>
      </c>
      <c r="D20" s="18">
        <v>620000</v>
      </c>
      <c r="F20" t="s">
        <v>414</v>
      </c>
      <c r="K20" s="42">
        <v>2420</v>
      </c>
      <c r="L20" s="42"/>
      <c r="M20">
        <v>27435</v>
      </c>
      <c r="N20" t="s">
        <v>151</v>
      </c>
      <c r="O20" t="s">
        <v>152</v>
      </c>
      <c r="P20" s="42">
        <v>2</v>
      </c>
      <c r="Q20" s="26">
        <f t="shared" si="0"/>
        <v>0.5</v>
      </c>
      <c r="T20">
        <v>16260</v>
      </c>
      <c r="U20" t="s">
        <v>270</v>
      </c>
      <c r="V20" t="s">
        <v>271</v>
      </c>
      <c r="W20" s="42">
        <v>920</v>
      </c>
      <c r="X20" s="42">
        <v>10</v>
      </c>
      <c r="Z20">
        <v>16552</v>
      </c>
      <c r="AA20" t="s">
        <v>272</v>
      </c>
      <c r="AB20" t="s">
        <v>273</v>
      </c>
      <c r="AC20" s="42">
        <v>1</v>
      </c>
      <c r="AD20" s="42">
        <v>140</v>
      </c>
    </row>
    <row r="21" spans="1:30" x14ac:dyDescent="0.3">
      <c r="A21">
        <v>24140</v>
      </c>
      <c r="B21" t="s">
        <v>363</v>
      </c>
      <c r="C21" t="s">
        <v>119</v>
      </c>
      <c r="D21" s="18">
        <v>620000</v>
      </c>
      <c r="L21" s="42"/>
      <c r="M21">
        <v>31818</v>
      </c>
      <c r="N21" t="s">
        <v>235</v>
      </c>
      <c r="O21" t="s">
        <v>236</v>
      </c>
      <c r="P21" s="42">
        <v>2</v>
      </c>
      <c r="Q21" s="26">
        <f t="shared" si="0"/>
        <v>0.5</v>
      </c>
      <c r="T21">
        <v>27435</v>
      </c>
      <c r="U21" t="s">
        <v>151</v>
      </c>
      <c r="V21" t="s">
        <v>152</v>
      </c>
      <c r="W21" s="42">
        <v>910</v>
      </c>
      <c r="X21" s="42">
        <v>9</v>
      </c>
      <c r="Z21">
        <v>28225</v>
      </c>
      <c r="AA21" t="s">
        <v>222</v>
      </c>
      <c r="AB21" t="s">
        <v>233</v>
      </c>
      <c r="AC21" s="42">
        <v>1</v>
      </c>
      <c r="AD21" s="42">
        <v>100</v>
      </c>
    </row>
    <row r="22" spans="1:30" x14ac:dyDescent="0.3">
      <c r="A22">
        <v>17043</v>
      </c>
      <c r="B22" t="s">
        <v>118</v>
      </c>
      <c r="C22" t="s">
        <v>119</v>
      </c>
      <c r="D22" s="18">
        <v>610000</v>
      </c>
      <c r="L22" s="42"/>
      <c r="M22">
        <v>30101</v>
      </c>
      <c r="N22" t="s">
        <v>341</v>
      </c>
      <c r="O22" t="s">
        <v>342</v>
      </c>
      <c r="P22" s="42">
        <v>1</v>
      </c>
      <c r="Q22" s="26">
        <f t="shared" si="0"/>
        <v>0.25</v>
      </c>
      <c r="T22">
        <v>18411</v>
      </c>
      <c r="U22" t="s">
        <v>28</v>
      </c>
      <c r="V22" t="s">
        <v>29</v>
      </c>
      <c r="W22" s="42">
        <v>865</v>
      </c>
      <c r="X22" s="42">
        <v>11</v>
      </c>
      <c r="Z22">
        <v>15107</v>
      </c>
      <c r="AA22" t="s">
        <v>153</v>
      </c>
      <c r="AB22" t="s">
        <v>154</v>
      </c>
      <c r="AC22" s="42">
        <v>1</v>
      </c>
      <c r="AD22" s="42">
        <v>90</v>
      </c>
    </row>
    <row r="23" spans="1:30" x14ac:dyDescent="0.3">
      <c r="A23">
        <v>27233</v>
      </c>
      <c r="B23" t="s">
        <v>193</v>
      </c>
      <c r="C23" t="s">
        <v>194</v>
      </c>
      <c r="D23" s="18">
        <v>610000</v>
      </c>
      <c r="L23" s="42"/>
      <c r="M23">
        <v>20886</v>
      </c>
      <c r="N23" t="s">
        <v>258</v>
      </c>
      <c r="O23" t="s">
        <v>250</v>
      </c>
      <c r="P23" s="42">
        <v>1</v>
      </c>
      <c r="Q23" s="26">
        <f t="shared" si="0"/>
        <v>0.25</v>
      </c>
      <c r="T23">
        <v>22156</v>
      </c>
      <c r="U23" t="s">
        <v>231</v>
      </c>
      <c r="V23" t="s">
        <v>232</v>
      </c>
      <c r="W23" s="42">
        <v>850</v>
      </c>
      <c r="X23" s="42">
        <v>14</v>
      </c>
      <c r="Z23">
        <v>32142</v>
      </c>
      <c r="AA23" t="s">
        <v>47</v>
      </c>
      <c r="AB23" t="s">
        <v>48</v>
      </c>
      <c r="AC23" s="42">
        <v>1</v>
      </c>
      <c r="AD23" s="42">
        <v>80</v>
      </c>
    </row>
    <row r="24" spans="1:30" x14ac:dyDescent="0.3">
      <c r="A24">
        <v>27435</v>
      </c>
      <c r="B24" t="s">
        <v>151</v>
      </c>
      <c r="C24" t="s">
        <v>152</v>
      </c>
      <c r="D24" s="18">
        <v>600000</v>
      </c>
      <c r="L24" s="42"/>
      <c r="M24">
        <v>18861</v>
      </c>
      <c r="N24" t="s">
        <v>351</v>
      </c>
      <c r="O24" t="s">
        <v>352</v>
      </c>
      <c r="P24" s="42">
        <v>1</v>
      </c>
      <c r="Q24" s="26">
        <f t="shared" si="0"/>
        <v>0.25</v>
      </c>
      <c r="T24">
        <v>26953</v>
      </c>
      <c r="U24" t="s">
        <v>120</v>
      </c>
      <c r="V24" t="s">
        <v>121</v>
      </c>
      <c r="W24" s="42">
        <v>845</v>
      </c>
      <c r="X24" s="42">
        <v>13</v>
      </c>
      <c r="Z24" t="s">
        <v>414</v>
      </c>
      <c r="AC24" s="42">
        <v>32</v>
      </c>
      <c r="AD24" s="42">
        <v>4530</v>
      </c>
    </row>
    <row r="25" spans="1:30" x14ac:dyDescent="0.3">
      <c r="A25">
        <v>28225</v>
      </c>
      <c r="B25" t="s">
        <v>222</v>
      </c>
      <c r="C25" t="s">
        <v>233</v>
      </c>
      <c r="D25" s="18">
        <v>590000</v>
      </c>
      <c r="L25" s="42"/>
      <c r="M25">
        <v>28528</v>
      </c>
      <c r="N25" t="s">
        <v>173</v>
      </c>
      <c r="O25" t="s">
        <v>174</v>
      </c>
      <c r="P25" s="42">
        <v>1</v>
      </c>
      <c r="Q25" s="26">
        <f t="shared" si="0"/>
        <v>0.25</v>
      </c>
      <c r="T25">
        <v>13625</v>
      </c>
      <c r="U25" t="s">
        <v>222</v>
      </c>
      <c r="V25" t="s">
        <v>223</v>
      </c>
      <c r="W25" s="42">
        <v>840</v>
      </c>
      <c r="X25" s="42">
        <v>8</v>
      </c>
    </row>
    <row r="26" spans="1:30" x14ac:dyDescent="0.3">
      <c r="A26">
        <v>9446</v>
      </c>
      <c r="B26" t="s">
        <v>285</v>
      </c>
      <c r="C26" t="s">
        <v>286</v>
      </c>
      <c r="D26" s="18">
        <v>570000</v>
      </c>
      <c r="L26" s="42"/>
      <c r="M26">
        <v>16552</v>
      </c>
      <c r="N26" t="s">
        <v>272</v>
      </c>
      <c r="O26" t="s">
        <v>273</v>
      </c>
      <c r="P26" s="42">
        <v>1</v>
      </c>
      <c r="T26">
        <v>32142</v>
      </c>
      <c r="U26" t="s">
        <v>47</v>
      </c>
      <c r="V26" t="s">
        <v>48</v>
      </c>
      <c r="W26" s="42">
        <v>835</v>
      </c>
      <c r="X26" s="42">
        <v>10</v>
      </c>
    </row>
    <row r="27" spans="1:30" x14ac:dyDescent="0.3">
      <c r="A27">
        <v>16552</v>
      </c>
      <c r="B27" t="s">
        <v>272</v>
      </c>
      <c r="C27" t="s">
        <v>273</v>
      </c>
      <c r="D27" s="18">
        <v>560000</v>
      </c>
      <c r="L27" s="42"/>
      <c r="M27">
        <v>32142</v>
      </c>
      <c r="N27" t="s">
        <v>47</v>
      </c>
      <c r="O27" t="s">
        <v>48</v>
      </c>
      <c r="P27" s="42">
        <v>1</v>
      </c>
      <c r="T27">
        <v>27233</v>
      </c>
      <c r="U27" t="s">
        <v>193</v>
      </c>
      <c r="V27" t="s">
        <v>194</v>
      </c>
      <c r="W27" s="42">
        <v>800</v>
      </c>
      <c r="X27" s="42">
        <v>12</v>
      </c>
    </row>
    <row r="28" spans="1:30" x14ac:dyDescent="0.3">
      <c r="A28">
        <v>12724</v>
      </c>
      <c r="B28" t="s">
        <v>460</v>
      </c>
      <c r="C28" t="s">
        <v>246</v>
      </c>
      <c r="D28" s="18">
        <v>530000</v>
      </c>
      <c r="L28" s="42"/>
      <c r="M28" t="s">
        <v>414</v>
      </c>
      <c r="P28" s="42">
        <v>81</v>
      </c>
      <c r="T28">
        <v>31818</v>
      </c>
      <c r="U28" t="s">
        <v>235</v>
      </c>
      <c r="V28" t="s">
        <v>236</v>
      </c>
      <c r="W28" s="42">
        <v>725</v>
      </c>
      <c r="X28" s="42">
        <v>7</v>
      </c>
    </row>
    <row r="29" spans="1:30" x14ac:dyDescent="0.3">
      <c r="A29">
        <v>19187</v>
      </c>
      <c r="B29" t="s">
        <v>328</v>
      </c>
      <c r="C29" t="s">
        <v>200</v>
      </c>
      <c r="D29" s="18">
        <v>500000</v>
      </c>
      <c r="L29" s="42"/>
      <c r="T29">
        <v>9530</v>
      </c>
      <c r="U29" t="s">
        <v>461</v>
      </c>
      <c r="V29" t="s">
        <v>284</v>
      </c>
      <c r="W29" s="42">
        <v>675</v>
      </c>
      <c r="X29" s="42">
        <v>8</v>
      </c>
    </row>
    <row r="30" spans="1:30" x14ac:dyDescent="0.3">
      <c r="A30">
        <v>30572</v>
      </c>
      <c r="B30" t="s">
        <v>225</v>
      </c>
      <c r="C30" t="s">
        <v>226</v>
      </c>
      <c r="D30" s="18">
        <v>440000</v>
      </c>
      <c r="L30" s="42"/>
      <c r="T30">
        <v>19187</v>
      </c>
      <c r="U30" t="s">
        <v>328</v>
      </c>
      <c r="V30" t="s">
        <v>200</v>
      </c>
      <c r="W30" s="42">
        <v>605</v>
      </c>
      <c r="X30" s="42">
        <v>8</v>
      </c>
    </row>
    <row r="31" spans="1:30" x14ac:dyDescent="0.3">
      <c r="A31">
        <v>21865</v>
      </c>
      <c r="B31" t="s">
        <v>107</v>
      </c>
      <c r="C31" t="s">
        <v>108</v>
      </c>
      <c r="D31" s="18">
        <v>420000</v>
      </c>
      <c r="L31" s="42"/>
      <c r="T31">
        <v>3936</v>
      </c>
      <c r="U31" t="s">
        <v>462</v>
      </c>
      <c r="V31" t="s">
        <v>463</v>
      </c>
      <c r="W31" s="42">
        <v>535</v>
      </c>
      <c r="X31" s="42">
        <v>8</v>
      </c>
      <c r="Y31" s="34"/>
    </row>
    <row r="32" spans="1:30" x14ac:dyDescent="0.3">
      <c r="A32">
        <v>26953</v>
      </c>
      <c r="B32" t="s">
        <v>120</v>
      </c>
      <c r="C32" t="s">
        <v>121</v>
      </c>
      <c r="D32" s="18">
        <v>410000</v>
      </c>
      <c r="L32" s="42"/>
      <c r="T32">
        <v>20941</v>
      </c>
      <c r="U32" t="s">
        <v>319</v>
      </c>
      <c r="V32" t="s">
        <v>320</v>
      </c>
      <c r="W32" s="42">
        <v>520</v>
      </c>
      <c r="X32" s="42">
        <v>8</v>
      </c>
      <c r="Y32" s="16"/>
    </row>
    <row r="33" spans="1:24" x14ac:dyDescent="0.3">
      <c r="A33">
        <v>18411</v>
      </c>
      <c r="B33" t="s">
        <v>28</v>
      </c>
      <c r="C33" t="s">
        <v>29</v>
      </c>
      <c r="D33" s="18">
        <v>410000</v>
      </c>
      <c r="L33" s="42"/>
      <c r="M33" s="16" t="s">
        <v>380</v>
      </c>
      <c r="N33" t="s">
        <v>405</v>
      </c>
      <c r="T33">
        <v>14084</v>
      </c>
      <c r="U33" t="s">
        <v>39</v>
      </c>
      <c r="V33" t="s">
        <v>40</v>
      </c>
      <c r="W33" s="42">
        <v>385</v>
      </c>
      <c r="X33" s="42">
        <v>6</v>
      </c>
    </row>
    <row r="34" spans="1:24" x14ac:dyDescent="0.3">
      <c r="A34">
        <v>20941</v>
      </c>
      <c r="B34" t="s">
        <v>319</v>
      </c>
      <c r="C34" t="s">
        <v>320</v>
      </c>
      <c r="D34" s="18">
        <v>380000</v>
      </c>
      <c r="L34" s="42"/>
      <c r="M34" s="148" t="s">
        <v>417</v>
      </c>
      <c r="N34" s="148"/>
      <c r="O34" s="148"/>
      <c r="P34" s="148"/>
      <c r="Q34" s="148"/>
      <c r="R34" s="34"/>
      <c r="T34">
        <v>14715</v>
      </c>
      <c r="U34" t="s">
        <v>339</v>
      </c>
      <c r="V34" t="s">
        <v>340</v>
      </c>
      <c r="W34" s="42">
        <v>295</v>
      </c>
      <c r="X34" s="42">
        <v>4</v>
      </c>
    </row>
    <row r="35" spans="1:24" x14ac:dyDescent="0.3">
      <c r="A35">
        <v>7891</v>
      </c>
      <c r="B35" t="s">
        <v>220</v>
      </c>
      <c r="C35" t="s">
        <v>221</v>
      </c>
      <c r="D35" s="18">
        <v>355000</v>
      </c>
      <c r="L35" s="42"/>
      <c r="M35" s="16" t="s">
        <v>2</v>
      </c>
      <c r="N35" s="16" t="s">
        <v>3</v>
      </c>
      <c r="O35" s="16" t="s">
        <v>4</v>
      </c>
      <c r="P35" s="16" t="s">
        <v>418</v>
      </c>
      <c r="Q35" s="29" t="s">
        <v>386</v>
      </c>
      <c r="R35"/>
      <c r="T35">
        <v>32182</v>
      </c>
      <c r="U35" t="s">
        <v>188</v>
      </c>
      <c r="V35" t="s">
        <v>189</v>
      </c>
      <c r="W35" s="42">
        <v>210</v>
      </c>
      <c r="X35" s="42">
        <v>3</v>
      </c>
    </row>
    <row r="36" spans="1:24" x14ac:dyDescent="0.3">
      <c r="A36">
        <v>28433</v>
      </c>
      <c r="B36" t="s">
        <v>353</v>
      </c>
      <c r="C36" t="s">
        <v>354</v>
      </c>
      <c r="D36" s="18">
        <v>350000</v>
      </c>
      <c r="L36" s="42"/>
      <c r="M36" s="30" t="s">
        <v>414</v>
      </c>
      <c r="N36" s="30"/>
      <c r="O36" s="30"/>
      <c r="P36" s="30"/>
      <c r="Q36" s="30"/>
      <c r="R36"/>
      <c r="T36">
        <v>30101</v>
      </c>
      <c r="U36" t="s">
        <v>341</v>
      </c>
      <c r="V36" t="s">
        <v>342</v>
      </c>
      <c r="W36" s="42">
        <v>205</v>
      </c>
      <c r="X36" s="42">
        <v>3</v>
      </c>
    </row>
    <row r="37" spans="1:24" x14ac:dyDescent="0.3">
      <c r="A37">
        <v>8473</v>
      </c>
      <c r="B37" t="s">
        <v>58</v>
      </c>
      <c r="C37" t="s">
        <v>59</v>
      </c>
      <c r="D37" s="18">
        <v>340000</v>
      </c>
      <c r="L37" s="42"/>
      <c r="Q37"/>
      <c r="R37"/>
      <c r="T37">
        <v>33116</v>
      </c>
      <c r="U37" t="s">
        <v>195</v>
      </c>
      <c r="V37" t="s">
        <v>196</v>
      </c>
      <c r="W37" s="42">
        <v>205</v>
      </c>
      <c r="X37" s="42">
        <v>3</v>
      </c>
    </row>
    <row r="38" spans="1:24" x14ac:dyDescent="0.3">
      <c r="A38">
        <v>4080</v>
      </c>
      <c r="B38" t="s">
        <v>191</v>
      </c>
      <c r="C38" t="s">
        <v>106</v>
      </c>
      <c r="D38" s="18">
        <v>327000</v>
      </c>
      <c r="L38" s="42"/>
      <c r="Q38"/>
      <c r="R38"/>
      <c r="T38">
        <v>18861</v>
      </c>
      <c r="U38" t="s">
        <v>351</v>
      </c>
      <c r="V38" t="s">
        <v>352</v>
      </c>
      <c r="W38" s="42">
        <v>170</v>
      </c>
      <c r="X38" s="42">
        <v>3</v>
      </c>
    </row>
    <row r="39" spans="1:24" x14ac:dyDescent="0.3">
      <c r="A39">
        <v>24283</v>
      </c>
      <c r="B39" t="s">
        <v>287</v>
      </c>
      <c r="C39" t="s">
        <v>288</v>
      </c>
      <c r="D39" s="18">
        <v>280000</v>
      </c>
      <c r="L39" s="42"/>
      <c r="Q39"/>
      <c r="R39"/>
      <c r="T39">
        <v>28528</v>
      </c>
      <c r="U39" t="s">
        <v>173</v>
      </c>
      <c r="V39" t="s">
        <v>174</v>
      </c>
      <c r="W39" s="42">
        <v>125</v>
      </c>
      <c r="X39" s="42">
        <v>2</v>
      </c>
    </row>
    <row r="40" spans="1:24" x14ac:dyDescent="0.3">
      <c r="A40" t="s">
        <v>459</v>
      </c>
      <c r="B40" t="s">
        <v>469</v>
      </c>
      <c r="C40" t="s">
        <v>470</v>
      </c>
      <c r="D40" s="18">
        <v>180000</v>
      </c>
      <c r="F40" s="16" t="s">
        <v>380</v>
      </c>
      <c r="G40" s="65">
        <v>46228</v>
      </c>
      <c r="L40" s="42"/>
      <c r="Q40"/>
      <c r="R40"/>
      <c r="T40">
        <v>31833</v>
      </c>
      <c r="U40" t="s">
        <v>140</v>
      </c>
      <c r="V40" t="s">
        <v>40</v>
      </c>
      <c r="W40" s="42">
        <v>110</v>
      </c>
      <c r="X40" s="42">
        <v>1</v>
      </c>
    </row>
    <row r="41" spans="1:24" x14ac:dyDescent="0.3">
      <c r="A41">
        <v>33116</v>
      </c>
      <c r="B41" t="s">
        <v>195</v>
      </c>
      <c r="C41" t="s">
        <v>196</v>
      </c>
      <c r="D41" s="18">
        <v>167000</v>
      </c>
      <c r="F41" s="16" t="s">
        <v>385</v>
      </c>
      <c r="G41" t="s">
        <v>403</v>
      </c>
      <c r="L41" s="42"/>
      <c r="Q41"/>
      <c r="R41"/>
      <c r="T41">
        <v>33476</v>
      </c>
      <c r="U41" t="s">
        <v>166</v>
      </c>
      <c r="V41" t="s">
        <v>167</v>
      </c>
      <c r="W41" s="42">
        <v>110</v>
      </c>
      <c r="X41" s="42">
        <v>1</v>
      </c>
    </row>
    <row r="42" spans="1:24" x14ac:dyDescent="0.3">
      <c r="A42">
        <v>18861</v>
      </c>
      <c r="B42" t="s">
        <v>351</v>
      </c>
      <c r="C42" t="s">
        <v>352</v>
      </c>
      <c r="D42" s="18">
        <v>160000</v>
      </c>
      <c r="F42" s="148" t="s">
        <v>476</v>
      </c>
      <c r="G42" s="148"/>
      <c r="H42" s="148"/>
      <c r="I42" s="148"/>
      <c r="J42" s="67"/>
      <c r="L42" s="42"/>
      <c r="Q42"/>
      <c r="R42"/>
      <c r="T42">
        <v>17558</v>
      </c>
      <c r="U42" t="s">
        <v>333</v>
      </c>
      <c r="V42" t="s">
        <v>471</v>
      </c>
      <c r="W42" s="42">
        <v>95</v>
      </c>
      <c r="X42" s="42">
        <v>1</v>
      </c>
    </row>
    <row r="43" spans="1:24" x14ac:dyDescent="0.3">
      <c r="A43">
        <v>17558</v>
      </c>
      <c r="B43" t="s">
        <v>333</v>
      </c>
      <c r="C43" t="s">
        <v>471</v>
      </c>
      <c r="D43" s="18">
        <v>140000</v>
      </c>
      <c r="F43" s="16" t="s">
        <v>2</v>
      </c>
      <c r="G43" s="16" t="s">
        <v>3</v>
      </c>
      <c r="H43" s="16" t="s">
        <v>4</v>
      </c>
      <c r="I43" t="s">
        <v>477</v>
      </c>
      <c r="L43" s="42"/>
      <c r="Q43"/>
      <c r="R43"/>
      <c r="T43">
        <v>14824</v>
      </c>
      <c r="U43" t="s">
        <v>364</v>
      </c>
      <c r="V43" t="s">
        <v>365</v>
      </c>
      <c r="W43" s="42">
        <v>90</v>
      </c>
      <c r="X43" s="42">
        <v>1</v>
      </c>
    </row>
    <row r="44" spans="1:24" x14ac:dyDescent="0.3">
      <c r="A44">
        <v>2193</v>
      </c>
      <c r="B44" t="s">
        <v>84</v>
      </c>
      <c r="C44" t="s">
        <v>88</v>
      </c>
      <c r="D44" s="18">
        <v>130000</v>
      </c>
      <c r="F44">
        <v>21865</v>
      </c>
      <c r="G44" t="s">
        <v>107</v>
      </c>
      <c r="H44" t="s">
        <v>108</v>
      </c>
      <c r="I44" s="66">
        <v>120000</v>
      </c>
      <c r="L44" s="42"/>
      <c r="Q44"/>
      <c r="R44"/>
      <c r="T44">
        <v>2193</v>
      </c>
      <c r="U44" t="s">
        <v>84</v>
      </c>
      <c r="V44" t="s">
        <v>88</v>
      </c>
      <c r="W44" s="42">
        <v>80</v>
      </c>
      <c r="X44" s="42">
        <v>1</v>
      </c>
    </row>
    <row r="45" spans="1:24" x14ac:dyDescent="0.3">
      <c r="A45">
        <v>14824</v>
      </c>
      <c r="B45" t="s">
        <v>364</v>
      </c>
      <c r="C45" t="s">
        <v>365</v>
      </c>
      <c r="D45" s="18">
        <v>130000</v>
      </c>
      <c r="F45">
        <v>31818</v>
      </c>
      <c r="G45" t="s">
        <v>235</v>
      </c>
      <c r="H45" t="s">
        <v>236</v>
      </c>
      <c r="I45" s="66">
        <v>50000</v>
      </c>
      <c r="L45" s="42"/>
      <c r="Q45"/>
      <c r="R45"/>
      <c r="T45">
        <v>22617</v>
      </c>
      <c r="U45" t="s">
        <v>326</v>
      </c>
      <c r="V45" t="s">
        <v>327</v>
      </c>
      <c r="W45" s="42">
        <v>80</v>
      </c>
      <c r="X45" s="42">
        <v>1</v>
      </c>
    </row>
    <row r="46" spans="1:24" x14ac:dyDescent="0.3">
      <c r="A46">
        <v>22156</v>
      </c>
      <c r="B46" t="s">
        <v>231</v>
      </c>
      <c r="C46" t="s">
        <v>232</v>
      </c>
      <c r="D46" s="18">
        <v>120000</v>
      </c>
      <c r="F46">
        <v>27435</v>
      </c>
      <c r="G46" t="s">
        <v>151</v>
      </c>
      <c r="H46" t="s">
        <v>152</v>
      </c>
      <c r="I46" s="66">
        <v>160000</v>
      </c>
      <c r="L46" s="42"/>
      <c r="Q46"/>
      <c r="R46"/>
      <c r="T46">
        <v>12531</v>
      </c>
      <c r="U46" t="s">
        <v>366</v>
      </c>
      <c r="V46" t="s">
        <v>367</v>
      </c>
      <c r="W46" s="42">
        <v>75</v>
      </c>
      <c r="X46" s="42">
        <v>1</v>
      </c>
    </row>
    <row r="47" spans="1:24" x14ac:dyDescent="0.3">
      <c r="A47">
        <v>9530</v>
      </c>
      <c r="B47" t="s">
        <v>461</v>
      </c>
      <c r="C47" t="s">
        <v>284</v>
      </c>
      <c r="D47" s="18">
        <v>100000</v>
      </c>
      <c r="F47">
        <v>4080</v>
      </c>
      <c r="G47" t="s">
        <v>191</v>
      </c>
      <c r="H47" t="s">
        <v>106</v>
      </c>
      <c r="I47" s="66">
        <v>50000</v>
      </c>
      <c r="L47" s="42"/>
      <c r="Q47"/>
      <c r="R47"/>
      <c r="T47">
        <v>34722</v>
      </c>
      <c r="U47" t="s">
        <v>464</v>
      </c>
      <c r="V47" t="s">
        <v>458</v>
      </c>
      <c r="W47" s="42">
        <v>75</v>
      </c>
      <c r="X47" s="42">
        <v>1</v>
      </c>
    </row>
    <row r="48" spans="1:24" x14ac:dyDescent="0.3">
      <c r="A48">
        <v>34722</v>
      </c>
      <c r="B48" t="s">
        <v>464</v>
      </c>
      <c r="C48" t="s">
        <v>458</v>
      </c>
      <c r="D48" s="18">
        <v>85000</v>
      </c>
      <c r="F48">
        <v>12724</v>
      </c>
      <c r="G48" t="s">
        <v>460</v>
      </c>
      <c r="H48" t="s">
        <v>246</v>
      </c>
      <c r="I48" s="66">
        <v>200000</v>
      </c>
      <c r="L48" s="42"/>
      <c r="Q48"/>
      <c r="R48"/>
      <c r="T48">
        <v>2329</v>
      </c>
      <c r="U48" t="s">
        <v>465</v>
      </c>
      <c r="V48" t="s">
        <v>466</v>
      </c>
      <c r="W48" s="42">
        <v>70</v>
      </c>
      <c r="X48" s="42">
        <v>1</v>
      </c>
    </row>
    <row r="49" spans="1:24" x14ac:dyDescent="0.3">
      <c r="A49">
        <v>12531</v>
      </c>
      <c r="B49" t="s">
        <v>366</v>
      </c>
      <c r="C49" t="s">
        <v>367</v>
      </c>
      <c r="D49" s="18">
        <v>85000</v>
      </c>
      <c r="F49" t="s">
        <v>414</v>
      </c>
      <c r="I49" s="66">
        <v>580000</v>
      </c>
      <c r="L49" s="42"/>
      <c r="Q49"/>
      <c r="T49">
        <v>1396</v>
      </c>
      <c r="U49" t="s">
        <v>66</v>
      </c>
      <c r="V49" t="s">
        <v>67</v>
      </c>
      <c r="W49" s="42">
        <v>65</v>
      </c>
      <c r="X49" s="42">
        <v>1</v>
      </c>
    </row>
    <row r="50" spans="1:24" x14ac:dyDescent="0.3">
      <c r="A50">
        <v>28528</v>
      </c>
      <c r="B50" t="s">
        <v>173</v>
      </c>
      <c r="C50" t="s">
        <v>174</v>
      </c>
      <c r="D50" s="18">
        <v>60000</v>
      </c>
      <c r="L50" s="42"/>
      <c r="Q50"/>
      <c r="T50">
        <v>351</v>
      </c>
      <c r="U50" t="s">
        <v>155</v>
      </c>
      <c r="V50" t="s">
        <v>156</v>
      </c>
      <c r="W50" s="42">
        <v>65</v>
      </c>
      <c r="X50" s="42">
        <v>1</v>
      </c>
    </row>
    <row r="51" spans="1:24" x14ac:dyDescent="0.3">
      <c r="A51">
        <v>14715</v>
      </c>
      <c r="B51" t="s">
        <v>339</v>
      </c>
      <c r="C51" t="s">
        <v>340</v>
      </c>
      <c r="D51" s="18">
        <v>60000</v>
      </c>
      <c r="L51" s="42"/>
      <c r="Q51"/>
      <c r="T51">
        <v>17697</v>
      </c>
      <c r="U51" t="s">
        <v>84</v>
      </c>
      <c r="V51" t="s">
        <v>196</v>
      </c>
      <c r="W51" s="42">
        <v>60</v>
      </c>
      <c r="X51" s="42">
        <v>1</v>
      </c>
    </row>
    <row r="52" spans="1:24" x14ac:dyDescent="0.3">
      <c r="A52">
        <v>30101</v>
      </c>
      <c r="B52" t="s">
        <v>341</v>
      </c>
      <c r="C52" t="s">
        <v>342</v>
      </c>
      <c r="D52" s="18">
        <v>60000</v>
      </c>
      <c r="L52" s="42"/>
      <c r="Q52"/>
      <c r="T52">
        <v>20886</v>
      </c>
      <c r="U52" t="s">
        <v>258</v>
      </c>
      <c r="V52" t="s">
        <v>250</v>
      </c>
      <c r="W52" s="42">
        <v>50</v>
      </c>
      <c r="X52" s="42">
        <v>1</v>
      </c>
    </row>
    <row r="53" spans="1:24" x14ac:dyDescent="0.3">
      <c r="A53">
        <v>14084</v>
      </c>
      <c r="B53" t="s">
        <v>39</v>
      </c>
      <c r="C53" t="s">
        <v>40</v>
      </c>
      <c r="D53" s="18">
        <v>60000</v>
      </c>
      <c r="L53" s="42"/>
      <c r="Q53"/>
      <c r="T53">
        <v>666666</v>
      </c>
      <c r="U53" t="s">
        <v>467</v>
      </c>
      <c r="V53" t="s">
        <v>161</v>
      </c>
      <c r="W53" s="42">
        <v>35</v>
      </c>
      <c r="X53" s="42">
        <v>1</v>
      </c>
    </row>
    <row r="54" spans="1:24" x14ac:dyDescent="0.3">
      <c r="A54">
        <v>22617</v>
      </c>
      <c r="B54" t="s">
        <v>326</v>
      </c>
      <c r="C54" t="s">
        <v>327</v>
      </c>
      <c r="D54" s="18">
        <v>30000</v>
      </c>
      <c r="Q54"/>
      <c r="T54">
        <v>666667</v>
      </c>
      <c r="U54" t="s">
        <v>468</v>
      </c>
      <c r="V54" t="s">
        <v>459</v>
      </c>
      <c r="W54" s="42">
        <v>30</v>
      </c>
      <c r="X54" s="42">
        <v>1</v>
      </c>
    </row>
    <row r="55" spans="1:24" x14ac:dyDescent="0.3">
      <c r="A55" t="s">
        <v>414</v>
      </c>
      <c r="D55" s="18">
        <v>16900000</v>
      </c>
      <c r="Q55"/>
      <c r="T55" t="s">
        <v>414</v>
      </c>
      <c r="W55" s="42">
        <v>33285</v>
      </c>
      <c r="X55" s="42">
        <v>420</v>
      </c>
    </row>
    <row r="56" spans="1:24" x14ac:dyDescent="0.3">
      <c r="Q56"/>
    </row>
    <row r="57" spans="1:24" x14ac:dyDescent="0.3">
      <c r="Q57"/>
    </row>
    <row r="58" spans="1:24" x14ac:dyDescent="0.3">
      <c r="Q58"/>
    </row>
    <row r="59" spans="1:24" x14ac:dyDescent="0.3">
      <c r="Q59"/>
    </row>
    <row r="60" spans="1:24" x14ac:dyDescent="0.3">
      <c r="Q60"/>
    </row>
    <row r="61" spans="1:24" x14ac:dyDescent="0.3">
      <c r="Q61"/>
    </row>
    <row r="62" spans="1:24" x14ac:dyDescent="0.3">
      <c r="Q62"/>
    </row>
    <row r="63" spans="1:24" x14ac:dyDescent="0.3">
      <c r="Q63"/>
    </row>
    <row r="64" spans="1:24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</sheetData>
  <mergeCells count="9">
    <mergeCell ref="F42:I42"/>
    <mergeCell ref="F2:K2"/>
    <mergeCell ref="AF2:AK2"/>
    <mergeCell ref="A2:D2"/>
    <mergeCell ref="M34:Q34"/>
    <mergeCell ref="A12:D12"/>
    <mergeCell ref="Z2:AD2"/>
    <mergeCell ref="T2:W2"/>
    <mergeCell ref="M3:R3"/>
  </mergeCells>
  <printOptions horizontalCentered="1"/>
  <pageMargins left="0.70866141732283472" right="0.70866141732283472" top="0.74803149606299213" bottom="0.74803149606299213" header="0.31496062992125984" footer="0.31496062992125984"/>
  <pageSetup scale="85" fitToWidth="100" orientation="portrait" r:id="rId9"/>
  <colBreaks count="5" manualBreakCount="5">
    <brk id="5" max="1048575" man="1"/>
    <brk id="12" max="56" man="1"/>
    <brk id="19" max="1048575" man="1"/>
    <brk id="25" max="1048575" man="1"/>
    <brk id="31" max="56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4997-E513-8F49-89D1-4F20E1ABC9B3}">
  <sheetPr codeName="Hoja8"/>
  <dimension ref="A1:W25"/>
  <sheetViews>
    <sheetView workbookViewId="0"/>
  </sheetViews>
  <sheetFormatPr baseColWidth="10" defaultColWidth="11.44140625" defaultRowHeight="14.4" x14ac:dyDescent="0.3"/>
  <cols>
    <col min="1" max="1" width="17" bestFit="1" customWidth="1"/>
    <col min="2" max="2" width="3.109375" bestFit="1" customWidth="1"/>
    <col min="3" max="3" width="6.109375" bestFit="1" customWidth="1"/>
    <col min="4" max="4" width="5.109375" bestFit="1" customWidth="1"/>
    <col min="5" max="5" width="12.109375" bestFit="1" customWidth="1"/>
    <col min="6" max="6" width="7.109375" bestFit="1" customWidth="1"/>
    <col min="8" max="8" width="1.77734375" customWidth="1"/>
    <col min="9" max="9" width="18.44140625" bestFit="1" customWidth="1"/>
    <col min="10" max="10" width="8.88671875" bestFit="1" customWidth="1"/>
    <col min="11" max="11" width="14.44140625" bestFit="1" customWidth="1"/>
    <col min="12" max="12" width="6.6640625" bestFit="1" customWidth="1"/>
    <col min="13" max="13" width="5.109375" bestFit="1" customWidth="1"/>
    <col min="14" max="14" width="7" style="25" bestFit="1" customWidth="1"/>
    <col min="15" max="15" width="2.109375" bestFit="1" customWidth="1"/>
    <col min="16" max="16" width="4.33203125" bestFit="1" customWidth="1"/>
    <col min="17" max="17" width="6" bestFit="1" customWidth="1"/>
    <col min="18" max="18" width="7" bestFit="1" customWidth="1"/>
    <col min="19" max="19" width="1.77734375" customWidth="1"/>
    <col min="20" max="20" width="16.44140625" bestFit="1" customWidth="1"/>
    <col min="21" max="22" width="0" hidden="1" customWidth="1"/>
    <col min="23" max="23" width="5.109375" bestFit="1" customWidth="1"/>
  </cols>
  <sheetData>
    <row r="1" spans="1:23" x14ac:dyDescent="0.3">
      <c r="A1" s="7" t="s">
        <v>420</v>
      </c>
      <c r="B1" s="7" t="s">
        <v>374</v>
      </c>
      <c r="C1" s="7" t="s">
        <v>421</v>
      </c>
      <c r="D1" s="7" t="s">
        <v>422</v>
      </c>
      <c r="E1" s="7" t="s">
        <v>423</v>
      </c>
      <c r="F1" s="7" t="s">
        <v>424</v>
      </c>
      <c r="G1" s="7" t="s">
        <v>425</v>
      </c>
      <c r="H1" s="7"/>
      <c r="I1" s="16" t="s">
        <v>426</v>
      </c>
      <c r="J1" t="s">
        <v>427</v>
      </c>
      <c r="K1" t="s">
        <v>428</v>
      </c>
      <c r="L1" t="s">
        <v>429</v>
      </c>
      <c r="M1" s="20" t="s">
        <v>430</v>
      </c>
      <c r="N1" s="24" t="s">
        <v>431</v>
      </c>
      <c r="P1" s="23" t="s">
        <v>432</v>
      </c>
      <c r="Q1" s="23" t="s">
        <v>433</v>
      </c>
      <c r="T1" s="7" t="s">
        <v>434</v>
      </c>
      <c r="U1" s="7"/>
      <c r="V1" s="7"/>
      <c r="W1" s="7" t="s">
        <v>435</v>
      </c>
    </row>
    <row r="2" spans="1:23" x14ac:dyDescent="0.3">
      <c r="A2" t="s">
        <v>436</v>
      </c>
      <c r="B2">
        <v>18</v>
      </c>
      <c r="C2">
        <f>+D2+B2</f>
        <v>84</v>
      </c>
      <c r="D2">
        <v>66</v>
      </c>
      <c r="E2" t="s">
        <v>437</v>
      </c>
      <c r="F2">
        <f>100+10</f>
        <v>110</v>
      </c>
      <c r="I2" s="19" t="s">
        <v>436</v>
      </c>
      <c r="J2" s="42">
        <v>290</v>
      </c>
      <c r="K2" s="42">
        <v>265</v>
      </c>
      <c r="L2" s="42">
        <v>211</v>
      </c>
      <c r="M2">
        <v>0</v>
      </c>
      <c r="N2" s="25">
        <f>+K2/3</f>
        <v>88.333333333333329</v>
      </c>
      <c r="O2" t="s">
        <v>438</v>
      </c>
      <c r="P2">
        <f>30*7</f>
        <v>210</v>
      </c>
      <c r="Q2">
        <v>120</v>
      </c>
      <c r="R2" t="s">
        <v>439</v>
      </c>
      <c r="T2" t="s">
        <v>440</v>
      </c>
      <c r="U2">
        <v>4</v>
      </c>
      <c r="V2">
        <f>+U2/$U$7</f>
        <v>0.16666666666666666</v>
      </c>
      <c r="W2">
        <v>33</v>
      </c>
    </row>
    <row r="3" spans="1:23" x14ac:dyDescent="0.3">
      <c r="A3" t="s">
        <v>441</v>
      </c>
      <c r="B3">
        <v>16</v>
      </c>
      <c r="C3">
        <f>+D3+B3</f>
        <v>84</v>
      </c>
      <c r="D3">
        <v>68</v>
      </c>
      <c r="E3" t="s">
        <v>437</v>
      </c>
      <c r="F3">
        <f>80-10</f>
        <v>70</v>
      </c>
      <c r="I3" s="19" t="s">
        <v>442</v>
      </c>
      <c r="J3" s="42">
        <v>167</v>
      </c>
      <c r="K3" s="42">
        <v>319</v>
      </c>
      <c r="L3" s="42">
        <v>217</v>
      </c>
      <c r="M3">
        <f>+L3-$L$2</f>
        <v>6</v>
      </c>
      <c r="N3" s="25">
        <f t="shared" ref="N3:N8" si="0">+K3/3</f>
        <v>106.33333333333333</v>
      </c>
      <c r="O3" t="s">
        <v>443</v>
      </c>
      <c r="P3">
        <v>45</v>
      </c>
      <c r="Q3">
        <f>+P3</f>
        <v>45</v>
      </c>
      <c r="R3" t="s">
        <v>443</v>
      </c>
      <c r="T3" t="s">
        <v>444</v>
      </c>
      <c r="U3">
        <v>2</v>
      </c>
      <c r="V3">
        <f t="shared" ref="V3:V6" si="1">+U3/$U$7</f>
        <v>8.3333333333333329E-2</v>
      </c>
      <c r="W3">
        <v>17</v>
      </c>
    </row>
    <row r="4" spans="1:23" x14ac:dyDescent="0.3">
      <c r="A4" t="s">
        <v>445</v>
      </c>
      <c r="B4">
        <v>22</v>
      </c>
      <c r="C4">
        <f>+D4+B4</f>
        <v>93</v>
      </c>
      <c r="D4">
        <v>71</v>
      </c>
      <c r="E4" t="s">
        <v>437</v>
      </c>
      <c r="F4">
        <v>10</v>
      </c>
      <c r="I4" s="19" t="s">
        <v>446</v>
      </c>
      <c r="J4" s="42">
        <v>90</v>
      </c>
      <c r="K4" s="42">
        <v>257</v>
      </c>
      <c r="L4" s="42">
        <v>221</v>
      </c>
      <c r="M4">
        <f t="shared" ref="M4:M8" si="2">+L4-$L$2</f>
        <v>10</v>
      </c>
      <c r="N4" s="25">
        <f t="shared" si="0"/>
        <v>85.666666666666671</v>
      </c>
      <c r="O4" t="s">
        <v>447</v>
      </c>
      <c r="P4">
        <f>+P2-P3</f>
        <v>165</v>
      </c>
      <c r="Q4">
        <f>+Q2+Q3</f>
        <v>165</v>
      </c>
      <c r="R4" t="s">
        <v>447</v>
      </c>
      <c r="T4" t="s">
        <v>446</v>
      </c>
      <c r="U4">
        <v>6</v>
      </c>
      <c r="V4">
        <f t="shared" si="1"/>
        <v>0.25</v>
      </c>
      <c r="W4">
        <f>+V4*$W$7</f>
        <v>50</v>
      </c>
    </row>
    <row r="5" spans="1:23" x14ac:dyDescent="0.3">
      <c r="A5" t="s">
        <v>446</v>
      </c>
      <c r="B5">
        <v>12</v>
      </c>
      <c r="C5">
        <f>+D5+B5</f>
        <v>86</v>
      </c>
      <c r="D5">
        <v>74</v>
      </c>
      <c r="E5" t="s">
        <v>437</v>
      </c>
      <c r="F5">
        <v>-10</v>
      </c>
      <c r="I5" s="19" t="s">
        <v>445</v>
      </c>
      <c r="J5" s="42">
        <v>152</v>
      </c>
      <c r="K5" s="42">
        <v>294</v>
      </c>
      <c r="L5" s="42">
        <v>228</v>
      </c>
      <c r="M5">
        <f t="shared" si="2"/>
        <v>17</v>
      </c>
      <c r="N5" s="25">
        <f t="shared" si="0"/>
        <v>98</v>
      </c>
      <c r="O5">
        <v>1</v>
      </c>
      <c r="P5">
        <v>100</v>
      </c>
      <c r="Q5">
        <f>+Q4-Q6</f>
        <v>100</v>
      </c>
      <c r="T5" t="s">
        <v>441</v>
      </c>
      <c r="U5">
        <v>6</v>
      </c>
      <c r="V5">
        <f t="shared" si="1"/>
        <v>0.25</v>
      </c>
      <c r="W5">
        <f>+V5*$W$7</f>
        <v>50</v>
      </c>
    </row>
    <row r="6" spans="1:23" x14ac:dyDescent="0.3">
      <c r="A6" t="s">
        <v>448</v>
      </c>
      <c r="B6">
        <v>22</v>
      </c>
      <c r="C6">
        <v>96</v>
      </c>
      <c r="D6">
        <f t="shared" ref="D6:D25" si="3">+C6-B6</f>
        <v>74</v>
      </c>
      <c r="E6" t="s">
        <v>437</v>
      </c>
      <c r="F6">
        <v>2</v>
      </c>
      <c r="I6" s="19" t="s">
        <v>449</v>
      </c>
      <c r="J6" s="42">
        <v>21</v>
      </c>
      <c r="K6" s="42">
        <v>304</v>
      </c>
      <c r="L6" s="42">
        <v>235</v>
      </c>
      <c r="M6">
        <f t="shared" si="2"/>
        <v>24</v>
      </c>
      <c r="N6" s="25">
        <f t="shared" si="0"/>
        <v>101.33333333333333</v>
      </c>
      <c r="O6">
        <v>2</v>
      </c>
      <c r="P6">
        <f>+P4-P5</f>
        <v>65</v>
      </c>
      <c r="Q6">
        <v>65</v>
      </c>
      <c r="R6" s="22"/>
      <c r="T6" t="s">
        <v>449</v>
      </c>
      <c r="U6">
        <v>6</v>
      </c>
      <c r="V6">
        <f t="shared" si="1"/>
        <v>0.25</v>
      </c>
      <c r="W6">
        <f>+V6*$W$7</f>
        <v>50</v>
      </c>
    </row>
    <row r="7" spans="1:23" x14ac:dyDescent="0.3">
      <c r="A7" t="s">
        <v>442</v>
      </c>
      <c r="B7">
        <v>34</v>
      </c>
      <c r="C7">
        <v>109</v>
      </c>
      <c r="D7">
        <f t="shared" si="3"/>
        <v>75</v>
      </c>
      <c r="E7" t="s">
        <v>437</v>
      </c>
      <c r="F7">
        <v>2</v>
      </c>
      <c r="I7" s="19" t="s">
        <v>441</v>
      </c>
      <c r="J7" s="42">
        <v>0</v>
      </c>
      <c r="K7" s="42">
        <v>284</v>
      </c>
      <c r="L7" s="42">
        <v>236</v>
      </c>
      <c r="M7">
        <f t="shared" si="2"/>
        <v>25</v>
      </c>
      <c r="N7" s="25">
        <f t="shared" si="0"/>
        <v>94.666666666666671</v>
      </c>
      <c r="T7" s="23" t="s">
        <v>450</v>
      </c>
      <c r="U7" s="23">
        <f>SUM(U2:U6)</f>
        <v>24</v>
      </c>
      <c r="V7" s="23">
        <f>+U7/$U$7</f>
        <v>1</v>
      </c>
      <c r="W7" s="23">
        <v>200</v>
      </c>
    </row>
    <row r="8" spans="1:23" x14ac:dyDescent="0.3">
      <c r="A8" t="s">
        <v>449</v>
      </c>
      <c r="B8">
        <v>23</v>
      </c>
      <c r="C8">
        <v>101</v>
      </c>
      <c r="D8">
        <f t="shared" si="3"/>
        <v>78</v>
      </c>
      <c r="E8" t="s">
        <v>437</v>
      </c>
      <c r="F8">
        <v>-2</v>
      </c>
      <c r="G8">
        <v>60</v>
      </c>
      <c r="I8" s="19" t="s">
        <v>451</v>
      </c>
      <c r="J8" s="42">
        <v>-62</v>
      </c>
      <c r="K8" s="42">
        <v>372</v>
      </c>
      <c r="L8" s="42">
        <v>258</v>
      </c>
      <c r="M8">
        <f t="shared" si="2"/>
        <v>47</v>
      </c>
      <c r="N8" s="25">
        <f t="shared" si="0"/>
        <v>124</v>
      </c>
    </row>
    <row r="9" spans="1:23" x14ac:dyDescent="0.3">
      <c r="A9" t="s">
        <v>451</v>
      </c>
      <c r="B9">
        <v>38</v>
      </c>
      <c r="C9">
        <v>120</v>
      </c>
      <c r="D9">
        <f t="shared" si="3"/>
        <v>82</v>
      </c>
      <c r="E9" t="s">
        <v>437</v>
      </c>
      <c r="F9">
        <v>-2</v>
      </c>
      <c r="I9" s="19" t="s">
        <v>414</v>
      </c>
      <c r="J9" s="42">
        <v>658</v>
      </c>
      <c r="K9" s="42">
        <v>2095</v>
      </c>
      <c r="L9" s="42">
        <v>1606</v>
      </c>
    </row>
    <row r="10" spans="1:23" x14ac:dyDescent="0.3">
      <c r="A10" t="s">
        <v>436</v>
      </c>
      <c r="B10">
        <v>18</v>
      </c>
      <c r="C10">
        <v>89</v>
      </c>
      <c r="D10">
        <f t="shared" si="3"/>
        <v>71</v>
      </c>
      <c r="E10" t="s">
        <v>452</v>
      </c>
      <c r="F10">
        <f>90+30</f>
        <v>120</v>
      </c>
      <c r="M10" s="21"/>
      <c r="N10" s="24"/>
    </row>
    <row r="11" spans="1:23" x14ac:dyDescent="0.3">
      <c r="A11" t="s">
        <v>442</v>
      </c>
      <c r="B11">
        <v>34</v>
      </c>
      <c r="C11">
        <v>105</v>
      </c>
      <c r="D11">
        <f t="shared" si="3"/>
        <v>71</v>
      </c>
      <c r="E11" t="s">
        <v>452</v>
      </c>
      <c r="F11">
        <f>90-30</f>
        <v>60</v>
      </c>
    </row>
    <row r="12" spans="1:23" x14ac:dyDescent="0.3">
      <c r="A12" t="s">
        <v>449</v>
      </c>
      <c r="B12">
        <v>23</v>
      </c>
      <c r="C12">
        <v>104</v>
      </c>
      <c r="D12">
        <f t="shared" si="3"/>
        <v>81</v>
      </c>
      <c r="E12" t="s">
        <v>452</v>
      </c>
      <c r="F12">
        <v>40</v>
      </c>
      <c r="G12">
        <v>60</v>
      </c>
    </row>
    <row r="13" spans="1:23" x14ac:dyDescent="0.3">
      <c r="A13" t="s">
        <v>446</v>
      </c>
      <c r="B13">
        <v>12</v>
      </c>
      <c r="C13">
        <v>94</v>
      </c>
      <c r="D13">
        <f t="shared" si="3"/>
        <v>82</v>
      </c>
      <c r="E13" t="s">
        <v>452</v>
      </c>
      <c r="F13">
        <v>-40</v>
      </c>
    </row>
    <row r="14" spans="1:23" x14ac:dyDescent="0.3">
      <c r="A14" t="s">
        <v>448</v>
      </c>
      <c r="B14">
        <v>22</v>
      </c>
      <c r="C14">
        <v>107</v>
      </c>
      <c r="D14">
        <f t="shared" si="3"/>
        <v>85</v>
      </c>
      <c r="E14" t="s">
        <v>452</v>
      </c>
      <c r="F14">
        <v>30</v>
      </c>
    </row>
    <row r="15" spans="1:23" x14ac:dyDescent="0.3">
      <c r="A15" t="s">
        <v>445</v>
      </c>
      <c r="B15">
        <v>22</v>
      </c>
      <c r="C15">
        <v>110</v>
      </c>
      <c r="D15">
        <f t="shared" si="3"/>
        <v>88</v>
      </c>
      <c r="E15" t="s">
        <v>452</v>
      </c>
      <c r="F15">
        <v>40</v>
      </c>
    </row>
    <row r="16" spans="1:23" x14ac:dyDescent="0.3">
      <c r="A16" t="s">
        <v>441</v>
      </c>
      <c r="B16">
        <v>16</v>
      </c>
      <c r="C16">
        <v>105</v>
      </c>
      <c r="D16">
        <f t="shared" si="3"/>
        <v>89</v>
      </c>
      <c r="E16" t="s">
        <v>452</v>
      </c>
      <c r="F16">
        <v>-30</v>
      </c>
    </row>
    <row r="17" spans="1:6" x14ac:dyDescent="0.3">
      <c r="A17" t="s">
        <v>451</v>
      </c>
      <c r="B17">
        <v>38</v>
      </c>
      <c r="C17">
        <v>141</v>
      </c>
      <c r="D17">
        <f t="shared" si="3"/>
        <v>103</v>
      </c>
      <c r="E17" t="s">
        <v>452</v>
      </c>
      <c r="F17">
        <v>-40</v>
      </c>
    </row>
    <row r="18" spans="1:6" x14ac:dyDescent="0.3">
      <c r="A18" t="s">
        <v>436</v>
      </c>
      <c r="B18">
        <v>18</v>
      </c>
      <c r="C18">
        <v>92</v>
      </c>
      <c r="D18">
        <f t="shared" si="3"/>
        <v>74</v>
      </c>
      <c r="E18" t="s">
        <v>453</v>
      </c>
      <c r="F18">
        <f>100-40</f>
        <v>60</v>
      </c>
    </row>
    <row r="19" spans="1:6" x14ac:dyDescent="0.3">
      <c r="A19" t="s">
        <v>442</v>
      </c>
      <c r="B19">
        <v>34</v>
      </c>
      <c r="C19">
        <v>105</v>
      </c>
      <c r="D19">
        <f t="shared" si="3"/>
        <v>71</v>
      </c>
      <c r="E19" t="s">
        <v>453</v>
      </c>
      <c r="F19">
        <f>65+40</f>
        <v>105</v>
      </c>
    </row>
    <row r="20" spans="1:6" x14ac:dyDescent="0.3">
      <c r="A20" t="s">
        <v>449</v>
      </c>
      <c r="B20">
        <v>23</v>
      </c>
      <c r="C20">
        <v>99</v>
      </c>
      <c r="D20">
        <f t="shared" si="3"/>
        <v>76</v>
      </c>
      <c r="E20" t="s">
        <v>453</v>
      </c>
      <c r="F20">
        <v>-17</v>
      </c>
    </row>
    <row r="21" spans="1:6" x14ac:dyDescent="0.3">
      <c r="A21" t="s">
        <v>446</v>
      </c>
      <c r="B21">
        <v>12</v>
      </c>
      <c r="C21">
        <v>77</v>
      </c>
      <c r="D21">
        <f t="shared" si="3"/>
        <v>65</v>
      </c>
      <c r="E21" t="s">
        <v>453</v>
      </c>
      <c r="F21">
        <f>100+40</f>
        <v>140</v>
      </c>
    </row>
    <row r="22" spans="1:6" x14ac:dyDescent="0.3">
      <c r="A22" t="s">
        <v>448</v>
      </c>
      <c r="B22">
        <v>22</v>
      </c>
      <c r="C22">
        <v>0</v>
      </c>
      <c r="D22">
        <v>100</v>
      </c>
      <c r="E22" t="s">
        <v>453</v>
      </c>
    </row>
    <row r="23" spans="1:6" x14ac:dyDescent="0.3">
      <c r="A23" t="s">
        <v>445</v>
      </c>
      <c r="B23">
        <v>22</v>
      </c>
      <c r="C23">
        <v>91</v>
      </c>
      <c r="D23">
        <f t="shared" si="3"/>
        <v>69</v>
      </c>
      <c r="E23" t="s">
        <v>453</v>
      </c>
      <c r="F23">
        <f>65+37</f>
        <v>102</v>
      </c>
    </row>
    <row r="24" spans="1:6" x14ac:dyDescent="0.3">
      <c r="A24" t="s">
        <v>441</v>
      </c>
      <c r="B24">
        <v>16</v>
      </c>
      <c r="C24">
        <v>95</v>
      </c>
      <c r="D24">
        <f t="shared" si="3"/>
        <v>79</v>
      </c>
      <c r="E24" t="s">
        <v>453</v>
      </c>
      <c r="F24">
        <v>-40</v>
      </c>
    </row>
    <row r="25" spans="1:6" x14ac:dyDescent="0.3">
      <c r="A25" t="s">
        <v>451</v>
      </c>
      <c r="B25">
        <v>38</v>
      </c>
      <c r="C25">
        <v>111</v>
      </c>
      <c r="D25">
        <f t="shared" si="3"/>
        <v>73</v>
      </c>
      <c r="E25" t="s">
        <v>453</v>
      </c>
      <c r="F25">
        <v>-20</v>
      </c>
    </row>
  </sheetData>
  <sortState xmlns:xlrd2="http://schemas.microsoft.com/office/spreadsheetml/2017/richdata2" ref="A2:F17">
    <sortCondition ref="E2:E17"/>
    <sortCondition ref="D2:D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jugadores</vt:lpstr>
      <vt:lpstr>Indices</vt:lpstr>
      <vt:lpstr>Equipos</vt:lpstr>
      <vt:lpstr>Resultados</vt:lpstr>
      <vt:lpstr>Puntos</vt:lpstr>
      <vt:lpstr>Palmares</vt:lpstr>
      <vt:lpstr>Hoja1</vt:lpstr>
      <vt:lpstr>RESULTADOS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LENOVO LOQ</cp:lastModifiedBy>
  <cp:revision/>
  <cp:lastPrinted>2026-08-01T00:06:21Z</cp:lastPrinted>
  <dcterms:created xsi:type="dcterms:W3CDTF">2025-01-18T01:05:39Z</dcterms:created>
  <dcterms:modified xsi:type="dcterms:W3CDTF">2026-08-01T04:22:02Z</dcterms:modified>
  <cp:category/>
  <cp:contentStatus/>
</cp:coreProperties>
</file>